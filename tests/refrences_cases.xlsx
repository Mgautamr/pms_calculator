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500" firstSheet="10" activeTab="12"/>
  </bookViews>
  <sheets>
    <sheet name="Conventions" sheetId="1" r:id="rId1"/>
    <sheet name="Summary" sheetId="2" r:id="rId2"/>
    <sheet name="C01_fixed_only" sheetId="3" r:id="rId3"/>
    <sheet name="C05_hwm_only" sheetId="4" r:id="rId4"/>
    <sheet name="TPL_blank_template" sheetId="5" r:id="rId5"/>
    <sheet name="CO2_Hybrid_No_Hurdles" sheetId="6" r:id="rId6"/>
    <sheet name="CO3_HUrdle_no_catchup" sheetId="7" r:id="rId7"/>
    <sheet name="CO4_HUrdle_catchup " sheetId="8" r:id="rId8"/>
    <sheet name="CO6_Hurdle_+HWM" sheetId="9" r:id="rId9"/>
    <sheet name="CO7_HurdleEdge_no_catchup " sheetId="10" r:id="rId10"/>
    <sheet name="CO8_HurdleEdge_catchup" sheetId="11" r:id="rId11"/>
    <sheet name="CO9_ExitLoad" sheetId="12" r:id="rId12"/>
    <sheet name="CO10_Zero_Fee_Baselin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<sst xmlns="http://schemas.openxmlformats.org/spreadsheetml/2006/main" count="407" uniqueCount="76">
  <si>
    <t>Fee model conventions (the engine must follow these exactly)</t>
  </si>
  <si>
    <t>Timing</t>
  </si>
  <si>
    <t>Annual periods. Fees are charged at year end. No contributions or withdrawals during the horizon.</t>
  </si>
  <si>
    <t>Each year</t>
  </si>
  <si>
    <t>1. Value before fees = Opening value x (1 + gross return).</t>
  </si>
  <si>
    <t>2. Fixed fee = Fixed fee % x Opening value (charged even in loss years).</t>
  </si>
  <si>
    <t>3. Base = Opening value, or the high-water mark (highest year-end net value so far, starting at the initial investment) if HWM = 1.</t>
  </si>
  <si>
    <t>4. Profit over base = Value before fees - Fixed fee - Base. Profit is measured after the fixed fee.</t>
  </si>
  <si>
    <t>5. Hurdle amount = Base x Hurdle rate.</t>
  </si>
  <si>
    <t>6. Performance fee = Perf % x [ Profit over base - Hurdle amount, floored at 0 ]  (no catch-up)</t>
  </si>
  <si>
    <t xml:space="preserve">   or Perf % x Profit over base if that profit exceeds the hurdle amount, else 0  (catch-up).</t>
  </si>
  <si>
    <t>7. Closing value = Value before fees - Fixed fee - Performance fee.</t>
  </si>
  <si>
    <t>8. HWM after year = max(previous HWM, Closing value). It is tracked on the portfolio value, not per contribution.</t>
  </si>
  <si>
    <t>End of horizon</t>
  </si>
  <si>
    <t>Exit load = Exit load % x final closing value. Final net value = closing value - exit load.</t>
  </si>
  <si>
    <t>CAGR = (final value / initial investment)^(1 / years) - 1. Fee drag = gross CAGR - net CAGR.</t>
  </si>
  <si>
    <t>Assumptions and sources</t>
  </si>
  <si>
    <t>The Rs 50,00,000 ticket size and every gross return are illustrative inputs chosen by the author. They are not real fund data.</t>
  </si>
  <si>
    <t>Fee levels (1% to 2.5% fixed, 20% profit share, 8% to 10% hurdle) are typical-looking round numbers for testing, not any manager's actual terms.</t>
  </si>
  <si>
    <t>Colour code: blue = input, black = formula, green = link to another sheet, yellow fill = key assumption to edit.</t>
  </si>
  <si>
    <t>Summary of reference cases</t>
  </si>
  <si>
    <t>All values link to the case sheets (green). Amounts in rupees.</t>
  </si>
  <si>
    <t>Case</t>
  </si>
  <si>
    <t>Name</t>
  </si>
  <si>
    <t>Final net value</t>
  </si>
  <si>
    <t>Fixed fees</t>
  </si>
  <si>
    <t>Performance fees</t>
  </si>
  <si>
    <t>Exit load</t>
  </si>
  <si>
    <t>Total fees</t>
  </si>
  <si>
    <t>Gross CAGR</t>
  </si>
  <si>
    <t>Net CAGR</t>
  </si>
  <si>
    <t>Fee drag</t>
  </si>
  <si>
    <t>C01</t>
  </si>
  <si>
    <t>fixed_only</t>
  </si>
  <si>
    <t>C05</t>
  </si>
  <si>
    <t>hwm_only</t>
  </si>
  <si>
    <t>C01  fixed_only</t>
  </si>
  <si>
    <t>Fixed management fee only, steady 12% gross every year.</t>
  </si>
  <si>
    <t>Inputs (blue = edit these)</t>
  </si>
  <si>
    <t>Initial investment (Rs)</t>
  </si>
  <si>
    <t>Fixed fee (% of opening value)</t>
  </si>
  <si>
    <t>Performance fee (% of profit)</t>
  </si>
  <si>
    <t>Hurdle rate (% of base)</t>
  </si>
  <si>
    <t>Catch-up (1 = yes, 0 = no)</t>
  </si>
  <si>
    <t>High-water mark (1 = yes, 0 = no)</t>
  </si>
  <si>
    <t>Exit load (% of final value)</t>
  </si>
  <si>
    <t>Year</t>
  </si>
  <si>
    <t>Gross return</t>
  </si>
  <si>
    <t>Opening value</t>
  </si>
  <si>
    <t>Value before fees</t>
  </si>
  <si>
    <t>Fixed fee</t>
  </si>
  <si>
    <t>Base (opening or HWM)</t>
  </si>
  <si>
    <t>Profit over base</t>
  </si>
  <si>
    <t>Hurdle amount</t>
  </si>
  <si>
    <t>Performance fee</t>
  </si>
  <si>
    <t>Closing value</t>
  </si>
  <si>
    <t>HWM after year</t>
  </si>
  <si>
    <t>Gross value (no fees)</t>
  </si>
  <si>
    <t>Results</t>
  </si>
  <si>
    <t>Years</t>
  </si>
  <si>
    <t>Gross final value (no fees)</t>
  </si>
  <si>
    <t>Closing value before exit load</t>
  </si>
  <si>
    <t>Exit load amount</t>
  </si>
  <si>
    <t>Total fixed fees</t>
  </si>
  <si>
    <t>Total performance fees</t>
  </si>
  <si>
    <t>Total fees incl. exit load</t>
  </si>
  <si>
    <t>Fee drag (gross CAGR minus net CAGR)</t>
  </si>
  <si>
    <t>C05  hwm_only</t>
  </si>
  <si>
    <t>20% profit share with high-water mark. Two loss years must be recovered before any new fee.</t>
  </si>
  <si>
    <t>TPL  blank_template</t>
  </si>
  <si>
    <t>Copy this sheet (right-click tab, Move or Copy) for a new case, then edit the blue cells.</t>
  </si>
  <si>
    <t>CO2_Hybrid</t>
  </si>
  <si>
    <t>CO7_HurdleEdge</t>
  </si>
  <si>
    <t>CO8</t>
  </si>
  <si>
    <t>CO9_ExitLoad</t>
  </si>
  <si>
    <t>CO10_Zero_fee_baseline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</si>
</sst>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;\(#,##0\);\-"/>
    <numFmt numFmtId="177" formatCode="0.00%;\(0.00%\);\-"/>
  </numFmts>
  <fonts count="29">
    <font>
      <sz val="11"/>
      <color theme="1"/>
      <name val="Calibri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2" borderId="1" xfId="0" applyNumberFormat="1" applyFont="1" applyFill="1" applyBorder="1"/>
    <xf numFmtId="177" fontId="5" fillId="2" borderId="1" xfId="0" applyNumberFormat="1" applyFont="1" applyFill="1" applyBorder="1"/>
    <xf numFmtId="1" fontId="5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/>
    <xf numFmtId="177" fontId="5" fillId="0" borderId="1" xfId="0" applyNumberFormat="1" applyFont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0" fontId="4" fillId="0" borderId="1" xfId="0" applyFont="1" applyBorder="1"/>
    <xf numFmtId="176" fontId="7" fillId="0" borderId="1" xfId="0" applyNumberFormat="1" applyFont="1" applyBorder="1"/>
    <xf numFmtId="177" fontId="7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8.68181818181818" defaultRowHeight="14.5"/>
  <cols>
    <col min="1" max="1" width="140" customWidth="1"/>
  </cols>
  <sheetData>
    <row r="1" ht="16.5" spans="1:1">
      <c r="A1" s="1" t="s">
        <v>0</v>
      </c>
    </row>
    <row r="2" spans="1:1">
      <c r="A2" s="4"/>
    </row>
    <row r="3" spans="1:1">
      <c r="A3" s="3" t="s">
        <v>1</v>
      </c>
    </row>
    <row r="4" spans="1:1">
      <c r="A4" s="4" t="s">
        <v>2</v>
      </c>
    </row>
    <row r="5" spans="1:1">
      <c r="A5" s="4"/>
    </row>
    <row r="6" spans="1:1">
      <c r="A6" s="3" t="s">
        <v>3</v>
      </c>
    </row>
    <row r="7" spans="1:1">
      <c r="A7" s="4" t="s">
        <v>4</v>
      </c>
    </row>
    <row r="8" spans="1:1">
      <c r="A8" s="4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 t="s">
        <v>9</v>
      </c>
    </row>
    <row r="13" spans="1:1">
      <c r="A13" s="4" t="s">
        <v>10</v>
      </c>
    </row>
    <row r="14" spans="1:1">
      <c r="A14" s="4" t="s">
        <v>11</v>
      </c>
    </row>
    <row r="15" spans="1:1">
      <c r="A15" s="4" t="s">
        <v>12</v>
      </c>
    </row>
    <row r="16" spans="1:1">
      <c r="A16" s="4"/>
    </row>
    <row r="17" spans="1:1">
      <c r="A17" s="3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4"/>
    </row>
    <row r="21" spans="1:1">
      <c r="A21" s="3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8.68181818181818" defaultRowHeight="14.5" outlineLevelRow="5"/>
  <cols>
    <col min="1" max="1" width="8" customWidth="1"/>
    <col min="2" max="2" width="26" customWidth="1"/>
    <col min="3" max="10" width="17" customWidth="1"/>
  </cols>
  <sheetData>
    <row r="1" ht="16.5" spans="1:10">
      <c r="A1" s="1" t="s">
        <v>20</v>
      </c>
    </row>
    <row r="2" spans="1:10">
      <c r="A2" s="2" t="s">
        <v>21</v>
      </c>
    </row>
    <row r="4" spans="1:10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</row>
    <row r="5" spans="1:10">
      <c r="A5" s="13" t="s">
        <v>32</v>
      </c>
      <c r="B5" s="13" t="s">
        <v>33</v>
      </c>
      <c r="C5" s="14">
        <f>'C01_fixed_only'!B25</f>
        <v>7871193.70467188</v>
      </c>
      <c r="D5" s="14">
        <f>'C01_fixed_only'!B26</f>
        <v>755577.290703125</v>
      </c>
      <c r="E5" s="14">
        <f>'C01_fixed_only'!B27</f>
        <v>0</v>
      </c>
      <c r="F5" s="14">
        <f>'C01_fixed_only'!B24</f>
        <v>0</v>
      </c>
      <c r="G5" s="14">
        <f>'C01_fixed_only'!B28</f>
        <v>755577.290703125</v>
      </c>
      <c r="H5" s="15">
        <f>'C01_fixed_only'!B29</f>
        <v>0.12</v>
      </c>
      <c r="I5" s="15">
        <f>'C01_fixed_only'!B30</f>
        <v>0.0950000000000002</v>
      </c>
      <c r="J5" s="15">
        <f>'C01_fixed_only'!B31</f>
        <v>0.0249999999999999</v>
      </c>
    </row>
    <row r="6" spans="1:10">
      <c r="A6" s="13" t="s">
        <v>34</v>
      </c>
      <c r="B6" s="13" t="s">
        <v>35</v>
      </c>
      <c r="C6" s="14">
        <f>'C05_hwm_only'!B25</f>
        <v>6608520</v>
      </c>
      <c r="D6" s="14">
        <f>'C05_hwm_only'!B26</f>
        <v>0</v>
      </c>
      <c r="E6" s="14">
        <f>'C05_hwm_only'!B27</f>
        <v>402130</v>
      </c>
      <c r="F6" s="14">
        <f>'C05_hwm_only'!B24</f>
        <v>0</v>
      </c>
      <c r="G6" s="14">
        <f>'C05_hwm_only'!B28</f>
        <v>402130</v>
      </c>
      <c r="H6" s="15">
        <f>'C05_hwm_only'!B29</f>
        <v>0.0712479696013486</v>
      </c>
      <c r="I6" s="15">
        <f>'C05_hwm_only'!B30</f>
        <v>0.0573696507475321</v>
      </c>
      <c r="J6" s="15">
        <f>'C05_hwm_only'!B31</f>
        <v>0.0138783188538165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38" customWidth="1"/>
    <col min="2" max="12" width="17" customWidth="1"/>
  </cols>
  <sheetData>
    <row r="1" ht="16.5" spans="1:12">
      <c r="A1" s="1" t="s">
        <v>36</v>
      </c>
    </row>
    <row r="2" spans="1:12">
      <c r="A2" s="2" t="s">
        <v>37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0.025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0.12</v>
      </c>
      <c r="C13" s="11">
        <f>$B$4</f>
        <v>5000000</v>
      </c>
      <c r="D13" s="11">
        <f>C13*(1+B13)</f>
        <v>5600000</v>
      </c>
      <c r="E13" s="11">
        <f>C13*$B$5</f>
        <v>125000</v>
      </c>
      <c r="F13" s="11">
        <f>IF($B$9=1,$B$4,C13)</f>
        <v>5000000</v>
      </c>
      <c r="G13" s="11">
        <f>D13-E13-F13</f>
        <v>475000.000000001</v>
      </c>
      <c r="H13" s="11">
        <f>F13*$B$7</f>
        <v>0</v>
      </c>
      <c r="I13" s="11">
        <f>$B$6*IF($B$8=1,IF(G13&gt;H13,G13,0),MAX(0,G13-H13))</f>
        <v>0</v>
      </c>
      <c r="J13" s="11">
        <f>D13-E13-I13</f>
        <v>5475000</v>
      </c>
      <c r="K13" s="11">
        <f>MAX($B$4,J13)</f>
        <v>5475000</v>
      </c>
      <c r="L13" s="11">
        <f>$B$4*(1+B13)</f>
        <v>5600000</v>
      </c>
    </row>
    <row r="14" spans="1:12">
      <c r="A14" s="9">
        <v>2</v>
      </c>
      <c r="B14" s="10">
        <v>0.12</v>
      </c>
      <c r="C14" s="11">
        <f>J13</f>
        <v>5475000</v>
      </c>
      <c r="D14" s="11">
        <f>C14*(1+B14)</f>
        <v>6132000</v>
      </c>
      <c r="E14" s="11">
        <f>C14*$B$5</f>
        <v>136875</v>
      </c>
      <c r="F14" s="11">
        <f>IF($B$9=1,K13,C14)</f>
        <v>5475000</v>
      </c>
      <c r="G14" s="11">
        <f>D14-E14-F14</f>
        <v>520125.000000001</v>
      </c>
      <c r="H14" s="11">
        <f>F14*$B$7</f>
        <v>0</v>
      </c>
      <c r="I14" s="11">
        <f>$B$6*IF($B$8=1,IF(G14&gt;H14,G14,0),MAX(0,G14-H14))</f>
        <v>0</v>
      </c>
      <c r="J14" s="11">
        <f>D14-E14-I14</f>
        <v>5995125</v>
      </c>
      <c r="K14" s="11">
        <f>MAX(K13,J14)</f>
        <v>5995125</v>
      </c>
      <c r="L14" s="11">
        <f>L13*(1+B14)</f>
        <v>6272000</v>
      </c>
    </row>
    <row r="15" spans="1:12">
      <c r="A15" s="9">
        <v>3</v>
      </c>
      <c r="B15" s="10">
        <v>0.12</v>
      </c>
      <c r="C15" s="11">
        <f>J14</f>
        <v>5995125</v>
      </c>
      <c r="D15" s="11">
        <f>C15*(1+B15)</f>
        <v>6714540</v>
      </c>
      <c r="E15" s="11">
        <f>C15*$B$5</f>
        <v>149878.125</v>
      </c>
      <c r="F15" s="11">
        <f>IF($B$9=1,K14,C15)</f>
        <v>5995125</v>
      </c>
      <c r="G15" s="11">
        <f>D15-E15-F15</f>
        <v>569536.875000001</v>
      </c>
      <c r="H15" s="11">
        <f>F15*$B$7</f>
        <v>0</v>
      </c>
      <c r="I15" s="11">
        <f>$B$6*IF($B$8=1,IF(G15&gt;H15,G15,0),MAX(0,G15-H15))</f>
        <v>0</v>
      </c>
      <c r="J15" s="11">
        <f>D15-E15-I15</f>
        <v>6564661.875</v>
      </c>
      <c r="K15" s="11">
        <f>MAX(K14,J15)</f>
        <v>6564661.875</v>
      </c>
      <c r="L15" s="11">
        <f>L14*(1+B15)</f>
        <v>7024640</v>
      </c>
    </row>
    <row r="16" spans="1:12">
      <c r="A16" s="9">
        <v>4</v>
      </c>
      <c r="B16" s="10">
        <v>0.12</v>
      </c>
      <c r="C16" s="11">
        <f>J15</f>
        <v>6564661.875</v>
      </c>
      <c r="D16" s="11">
        <f>C16*(1+B16)</f>
        <v>7352421.3</v>
      </c>
      <c r="E16" s="11">
        <f>C16*$B$5</f>
        <v>164116.546875</v>
      </c>
      <c r="F16" s="11">
        <f>IF($B$9=1,K15,C16)</f>
        <v>6564661.875</v>
      </c>
      <c r="G16" s="11">
        <f>D16-E16-F16</f>
        <v>623642.878125001</v>
      </c>
      <c r="H16" s="11">
        <f>F16*$B$7</f>
        <v>0</v>
      </c>
      <c r="I16" s="11">
        <f>$B$6*IF($B$8=1,IF(G16&gt;H16,G16,0),MAX(0,G16-H16))</f>
        <v>0</v>
      </c>
      <c r="J16" s="11">
        <f>D16-E16-I16</f>
        <v>7188304.753125</v>
      </c>
      <c r="K16" s="11">
        <f>MAX(K15,J16)</f>
        <v>7188304.753125</v>
      </c>
      <c r="L16" s="11">
        <f>L15*(1+B16)</f>
        <v>7867596.8</v>
      </c>
    </row>
    <row r="17" spans="1:12">
      <c r="A17" s="9">
        <v>5</v>
      </c>
      <c r="B17" s="10">
        <v>0.12</v>
      </c>
      <c r="C17" s="11">
        <f>J16</f>
        <v>7188304.753125</v>
      </c>
      <c r="D17" s="11">
        <f>C17*(1+B17)</f>
        <v>8050901.3235</v>
      </c>
      <c r="E17" s="11">
        <f>C17*$B$5</f>
        <v>179707.618828125</v>
      </c>
      <c r="F17" s="11">
        <f>IF($B$9=1,K16,C17)</f>
        <v>7188304.753125</v>
      </c>
      <c r="G17" s="11">
        <f>D17-E17-F17</f>
        <v>682888.951546876</v>
      </c>
      <c r="H17" s="11">
        <f>F17*$B$7</f>
        <v>0</v>
      </c>
      <c r="I17" s="11">
        <f>$B$6*IF($B$8=1,IF(G17&gt;H17,G17,0),MAX(0,G17-H17))</f>
        <v>0</v>
      </c>
      <c r="J17" s="11">
        <f>D17-E17-I17</f>
        <v>7871193.70467188</v>
      </c>
      <c r="K17" s="11">
        <f>MAX(K16,J17)</f>
        <v>7871193.70467188</v>
      </c>
      <c r="L17" s="11">
        <f>L16*(1+B17)</f>
        <v>8811708.416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8811708.416</v>
      </c>
    </row>
    <row r="23" spans="1:12">
      <c r="A23" s="4" t="s">
        <v>61</v>
      </c>
      <c r="B23" s="11">
        <f>J17</f>
        <v>7871193.70467188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7871193.70467188</v>
      </c>
    </row>
    <row r="26" spans="1:12">
      <c r="A26" s="4" t="s">
        <v>63</v>
      </c>
      <c r="B26" s="11">
        <f>SUM(E13:E17)</f>
        <v>755577.290703125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755577.290703125</v>
      </c>
    </row>
    <row r="29" spans="1:12">
      <c r="A29" s="4" t="s">
        <v>29</v>
      </c>
      <c r="B29" s="12">
        <f>(B22/B4)^(1/B21)-1</f>
        <v>0.12</v>
      </c>
    </row>
    <row r="30" spans="1:12">
      <c r="A30" s="4" t="s">
        <v>30</v>
      </c>
      <c r="B30" s="12">
        <f>(B25/B4)^(1/B21)-1</f>
        <v>0.0950000000000002</v>
      </c>
    </row>
    <row r="31" spans="1:12">
      <c r="A31" s="4" t="s">
        <v>66</v>
      </c>
      <c r="B31" s="12">
        <f>B29-B30</f>
        <v>0.0249999999999999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38" customWidth="1"/>
    <col min="2" max="12" width="17" customWidth="1"/>
  </cols>
  <sheetData>
    <row r="1" ht="16.5" spans="1:12">
      <c r="A1" s="1" t="s">
        <v>67</v>
      </c>
    </row>
    <row r="2" spans="1:12">
      <c r="A2" s="2" t="s">
        <v>68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1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0.2</v>
      </c>
      <c r="C13" s="11">
        <f>$B$4</f>
        <v>5000000</v>
      </c>
      <c r="D13" s="11">
        <f>C13*(1+B13)</f>
        <v>6000000</v>
      </c>
      <c r="E13" s="11">
        <f>C13*$B$5</f>
        <v>0</v>
      </c>
      <c r="F13" s="11">
        <f>IF($B$9=1,$B$4,C13)</f>
        <v>5000000</v>
      </c>
      <c r="G13" s="11">
        <f>D13-E13-F13</f>
        <v>1000000</v>
      </c>
      <c r="H13" s="11">
        <f>F13*$B$7</f>
        <v>0</v>
      </c>
      <c r="I13" s="11">
        <f>$B$6*IF($B$8=1,IF(G13&gt;H13,G13,0),MAX(0,G13-H13))</f>
        <v>200000</v>
      </c>
      <c r="J13" s="11">
        <f>D13-E13-I13</f>
        <v>5800000</v>
      </c>
      <c r="K13" s="11">
        <f>MAX($B$4,J13)</f>
        <v>5800000</v>
      </c>
      <c r="L13" s="11">
        <f>$B$4*(1+B13)</f>
        <v>6000000</v>
      </c>
    </row>
    <row r="14" spans="1:12">
      <c r="A14" s="9">
        <v>2</v>
      </c>
      <c r="B14" s="10">
        <v>-0.1</v>
      </c>
      <c r="C14" s="11">
        <f>J13</f>
        <v>5800000</v>
      </c>
      <c r="D14" s="11">
        <f>C14*(1+B14)</f>
        <v>5220000</v>
      </c>
      <c r="E14" s="11">
        <f>C14*$B$5</f>
        <v>0</v>
      </c>
      <c r="F14" s="11">
        <f>IF($B$9=1,K13,C14)</f>
        <v>5800000</v>
      </c>
      <c r="G14" s="11">
        <f>D14-E14-F14</f>
        <v>-580000</v>
      </c>
      <c r="H14" s="11">
        <f>F14*$B$7</f>
        <v>0</v>
      </c>
      <c r="I14" s="11">
        <f>$B$6*IF($B$8=1,IF(G14&gt;H14,G14,0),MAX(0,G14-H14))</f>
        <v>0</v>
      </c>
      <c r="J14" s="11">
        <f>D14-E14-I14</f>
        <v>5220000</v>
      </c>
      <c r="K14" s="11">
        <f>MAX(K13,J14)</f>
        <v>5800000</v>
      </c>
      <c r="L14" s="11">
        <f>L13*(1+B14)</f>
        <v>5400000</v>
      </c>
    </row>
    <row r="15" spans="1:12">
      <c r="A15" s="9">
        <v>3</v>
      </c>
      <c r="B15" s="10">
        <v>-0.05</v>
      </c>
      <c r="C15" s="11">
        <f>J14</f>
        <v>5220000</v>
      </c>
      <c r="D15" s="11">
        <f>C15*(1+B15)</f>
        <v>4959000</v>
      </c>
      <c r="E15" s="11">
        <f>C15*$B$5</f>
        <v>0</v>
      </c>
      <c r="F15" s="11">
        <f>IF($B$9=1,K14,C15)</f>
        <v>5800000</v>
      </c>
      <c r="G15" s="11">
        <f>D15-E15-F15</f>
        <v>-841000</v>
      </c>
      <c r="H15" s="11">
        <f>F15*$B$7</f>
        <v>0</v>
      </c>
      <c r="I15" s="11">
        <f>$B$6*IF($B$8=1,IF(G15&gt;H15,G15,0),MAX(0,G15-H15))</f>
        <v>0</v>
      </c>
      <c r="J15" s="11">
        <f>D15-E15-I15</f>
        <v>4959000</v>
      </c>
      <c r="K15" s="11">
        <f>MAX(K14,J15)</f>
        <v>5800000</v>
      </c>
      <c r="L15" s="11">
        <f>L14*(1+B15)</f>
        <v>5130000</v>
      </c>
    </row>
    <row r="16" spans="1:12">
      <c r="A16" s="9">
        <v>4</v>
      </c>
      <c r="B16" s="10">
        <v>0.25</v>
      </c>
      <c r="C16" s="11">
        <f>J15</f>
        <v>4959000</v>
      </c>
      <c r="D16" s="11">
        <f>C16*(1+B16)</f>
        <v>6198750</v>
      </c>
      <c r="E16" s="11">
        <f>C16*$B$5</f>
        <v>0</v>
      </c>
      <c r="F16" s="11">
        <f>IF($B$9=1,K15,C16)</f>
        <v>5800000</v>
      </c>
      <c r="G16" s="11">
        <f>D16-E16-F16</f>
        <v>398750</v>
      </c>
      <c r="H16" s="11">
        <f>F16*$B$7</f>
        <v>0</v>
      </c>
      <c r="I16" s="11">
        <f>$B$6*IF($B$8=1,IF(G16&gt;H16,G16,0),MAX(0,G16-H16))</f>
        <v>79750</v>
      </c>
      <c r="J16" s="11">
        <f>D16-E16-I16</f>
        <v>6119000</v>
      </c>
      <c r="K16" s="11">
        <f>MAX(K15,J16)</f>
        <v>6119000</v>
      </c>
      <c r="L16" s="11">
        <f>L15*(1+B16)</f>
        <v>6412500</v>
      </c>
    </row>
    <row r="17" spans="1:12">
      <c r="A17" s="9">
        <v>5</v>
      </c>
      <c r="B17" s="10">
        <v>0.1</v>
      </c>
      <c r="C17" s="11">
        <f>J16</f>
        <v>6119000</v>
      </c>
      <c r="D17" s="11">
        <f>C17*(1+B17)</f>
        <v>6730900</v>
      </c>
      <c r="E17" s="11">
        <f>C17*$B$5</f>
        <v>0</v>
      </c>
      <c r="F17" s="11">
        <f>IF($B$9=1,K16,C17)</f>
        <v>6119000</v>
      </c>
      <c r="G17" s="11">
        <f>D17-E17-F17</f>
        <v>611900.000000001</v>
      </c>
      <c r="H17" s="11">
        <f>F17*$B$7</f>
        <v>0</v>
      </c>
      <c r="I17" s="11">
        <f>$B$6*IF($B$8=1,IF(G17&gt;H17,G17,0),MAX(0,G17-H17))</f>
        <v>122380</v>
      </c>
      <c r="J17" s="11">
        <f>D17-E17-I17</f>
        <v>6608520</v>
      </c>
      <c r="K17" s="11">
        <f>MAX(K16,J17)</f>
        <v>6608520</v>
      </c>
      <c r="L17" s="11">
        <f>L16*(1+B17)</f>
        <v>7053750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7053750</v>
      </c>
    </row>
    <row r="23" spans="1:12">
      <c r="A23" s="4" t="s">
        <v>61</v>
      </c>
      <c r="B23" s="11">
        <f>J17</f>
        <v>6608520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6608520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402130</v>
      </c>
    </row>
    <row r="28" spans="1:12">
      <c r="A28" s="4" t="s">
        <v>65</v>
      </c>
      <c r="B28" s="11">
        <f>B24+B26+B27</f>
        <v>402130</v>
      </c>
    </row>
    <row r="29" spans="1:12">
      <c r="A29" s="4" t="s">
        <v>29</v>
      </c>
      <c r="B29" s="12">
        <f>(B22/B4)^(1/B21)-1</f>
        <v>0.0712479696013486</v>
      </c>
    </row>
    <row r="30" spans="1:12">
      <c r="A30" s="4" t="s">
        <v>30</v>
      </c>
      <c r="B30" s="12">
        <f>(B25/B4)^(1/B21)-1</f>
        <v>0.0573696507475321</v>
      </c>
    </row>
    <row r="31" spans="1:12">
      <c r="A31" s="4" t="s">
        <v>66</v>
      </c>
      <c r="B31" s="12">
        <f>B29-B30</f>
        <v>0.0138783188538165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3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38" customWidth="1"/>
    <col min="2" max="12" width="17" customWidth="1"/>
  </cols>
  <sheetData>
    <row r="1" ht="16.5" spans="1:12">
      <c r="A1" s="1" t="s">
        <v>69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</v>
      </c>
      <c r="C13" s="11">
        <f>$B$4</f>
        <v>5000000</v>
      </c>
      <c r="D13" s="11">
        <f>C13*(1+B13)</f>
        <v>5000000</v>
      </c>
      <c r="E13" s="11">
        <f>C13*$B$5</f>
        <v>0</v>
      </c>
      <c r="F13" s="11">
        <f>IF($B$9=1,$B$4,C13)</f>
        <v>5000000</v>
      </c>
      <c r="G13" s="11">
        <f>D13-E13-F13</f>
        <v>0</v>
      </c>
      <c r="H13" s="11">
        <f>F13*$B$7</f>
        <v>0</v>
      </c>
      <c r="I13" s="11">
        <f>$B$6*IF($B$8=1,IF(G13&gt;H13,G13,0),MAX(0,G13-H13))</f>
        <v>0</v>
      </c>
      <c r="J13" s="11">
        <f>D13-E13-I13</f>
        <v>5000000</v>
      </c>
      <c r="K13" s="11">
        <f>MAX($B$4,J13)</f>
        <v>5000000</v>
      </c>
      <c r="L13" s="11">
        <f>$B$4*(1+B13)</f>
        <v>5000000</v>
      </c>
    </row>
    <row r="14" spans="1:12">
      <c r="A14" s="9">
        <v>2</v>
      </c>
      <c r="B14" s="10">
        <v>0</v>
      </c>
      <c r="C14" s="11">
        <f>J13</f>
        <v>5000000</v>
      </c>
      <c r="D14" s="11">
        <f>C14*(1+B14)</f>
        <v>5000000</v>
      </c>
      <c r="E14" s="11">
        <f>C14*$B$5</f>
        <v>0</v>
      </c>
      <c r="F14" s="11">
        <f>IF($B$9=1,K13,C14)</f>
        <v>5000000</v>
      </c>
      <c r="G14" s="11">
        <f>D14-E14-F14</f>
        <v>0</v>
      </c>
      <c r="H14" s="11">
        <f>F14*$B$7</f>
        <v>0</v>
      </c>
      <c r="I14" s="11">
        <f>$B$6*IF($B$8=1,IF(G14&gt;H14,G14,0),MAX(0,G14-H14))</f>
        <v>0</v>
      </c>
      <c r="J14" s="11">
        <f>D14-E14-I14</f>
        <v>5000000</v>
      </c>
      <c r="K14" s="11">
        <f>MAX(K13,J14)</f>
        <v>5000000</v>
      </c>
      <c r="L14" s="11">
        <f>L13*(1+B14)</f>
        <v>5000000</v>
      </c>
    </row>
    <row r="15" spans="1:12">
      <c r="A15" s="9">
        <v>3</v>
      </c>
      <c r="B15" s="10">
        <v>0</v>
      </c>
      <c r="C15" s="11">
        <f>J14</f>
        <v>5000000</v>
      </c>
      <c r="D15" s="11">
        <f>C15*(1+B15)</f>
        <v>5000000</v>
      </c>
      <c r="E15" s="11">
        <f>C15*$B$5</f>
        <v>0</v>
      </c>
      <c r="F15" s="11">
        <f>IF($B$9=1,K14,C15)</f>
        <v>5000000</v>
      </c>
      <c r="G15" s="11">
        <f>D15-E15-F15</f>
        <v>0</v>
      </c>
      <c r="H15" s="11">
        <f>F15*$B$7</f>
        <v>0</v>
      </c>
      <c r="I15" s="11">
        <f>$B$6*IF($B$8=1,IF(G15&gt;H15,G15,0),MAX(0,G15-H15))</f>
        <v>0</v>
      </c>
      <c r="J15" s="11">
        <f>D15-E15-I15</f>
        <v>5000000</v>
      </c>
      <c r="K15" s="11">
        <f>MAX(K14,J15)</f>
        <v>5000000</v>
      </c>
      <c r="L15" s="11">
        <f>L14*(1+B15)</f>
        <v>5000000</v>
      </c>
    </row>
    <row r="16" spans="1:12">
      <c r="A16" s="9">
        <v>4</v>
      </c>
      <c r="B16" s="10">
        <v>0</v>
      </c>
      <c r="C16" s="11">
        <f>J15</f>
        <v>5000000</v>
      </c>
      <c r="D16" s="11">
        <f>C16*(1+B16)</f>
        <v>5000000</v>
      </c>
      <c r="E16" s="11">
        <f>C16*$B$5</f>
        <v>0</v>
      </c>
      <c r="F16" s="11">
        <f>IF($B$9=1,K15,C16)</f>
        <v>5000000</v>
      </c>
      <c r="G16" s="11">
        <f>D16-E16-F16</f>
        <v>0</v>
      </c>
      <c r="H16" s="11">
        <f>F16*$B$7</f>
        <v>0</v>
      </c>
      <c r="I16" s="11">
        <f>$B$6*IF($B$8=1,IF(G16&gt;H16,G16,0),MAX(0,G16-H16))</f>
        <v>0</v>
      </c>
      <c r="J16" s="11">
        <f>D16-E16-I16</f>
        <v>5000000</v>
      </c>
      <c r="K16" s="11">
        <f>MAX(K15,J16)</f>
        <v>5000000</v>
      </c>
      <c r="L16" s="11">
        <f>L15*(1+B16)</f>
        <v>5000000</v>
      </c>
    </row>
    <row r="17" spans="1:12">
      <c r="A17" s="9">
        <v>5</v>
      </c>
      <c r="B17" s="10">
        <v>0</v>
      </c>
      <c r="C17" s="11">
        <f>J16</f>
        <v>5000000</v>
      </c>
      <c r="D17" s="11">
        <f>C17*(1+B17)</f>
        <v>5000000</v>
      </c>
      <c r="E17" s="11">
        <f>C17*$B$5</f>
        <v>0</v>
      </c>
      <c r="F17" s="11">
        <f>IF($B$9=1,K16,C17)</f>
        <v>5000000</v>
      </c>
      <c r="G17" s="11">
        <f>D17-E17-F17</f>
        <v>0</v>
      </c>
      <c r="H17" s="11">
        <f>F17*$B$7</f>
        <v>0</v>
      </c>
      <c r="I17" s="11">
        <f>$B$6*IF($B$8=1,IF(G17&gt;H17,G17,0),MAX(0,G17-H17))</f>
        <v>0</v>
      </c>
      <c r="J17" s="11">
        <f>D17-E17-I17</f>
        <v>5000000</v>
      </c>
      <c r="K17" s="11">
        <f>MAX(K16,J17)</f>
        <v>5000000</v>
      </c>
      <c r="L17" s="11">
        <f>L16*(1+B17)</f>
        <v>5000000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5000000</v>
      </c>
    </row>
    <row r="23" spans="1:12">
      <c r="A23" s="4" t="s">
        <v>61</v>
      </c>
      <c r="B23" s="11">
        <f>J17</f>
        <v>5000000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5000000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0</v>
      </c>
    </row>
    <row r="29" spans="1:12">
      <c r="A29" s="4" t="s">
        <v>29</v>
      </c>
      <c r="B29" s="12">
        <f>(B22/B4)^(1/B21)-1</f>
        <v>0</v>
      </c>
    </row>
    <row r="30" spans="1:12">
      <c r="A30" s="4" t="s">
        <v>30</v>
      </c>
      <c r="B30" s="12">
        <f>(B25/B4)^(1/B21)-1</f>
        <v>0</v>
      </c>
    </row>
    <row r="31" spans="1:12">
      <c r="A31" s="4" t="s">
        <v>66</v>
      </c>
      <c r="B31" s="12">
        <f>B29-B30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5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0.015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0.15</v>
      </c>
      <c r="C13" s="11">
        <f>$B$4</f>
        <v>5000000</v>
      </c>
      <c r="D13" s="11">
        <f t="shared" ref="D13:D17" si="0">C13*(1+B13)</f>
        <v>5750000</v>
      </c>
      <c r="E13" s="11">
        <f t="shared" ref="E13:E17" si="1">C13*$B$5</f>
        <v>75000</v>
      </c>
      <c r="F13" s="11">
        <f>IF($B$9=1,$B$4,C13)</f>
        <v>5000000</v>
      </c>
      <c r="G13" s="11">
        <f t="shared" ref="G13:G17" si="2">D13-E13-F13</f>
        <v>675000</v>
      </c>
      <c r="H13" s="11">
        <f t="shared" ref="H13:H17" si="3">F13*$B$7</f>
        <v>0</v>
      </c>
      <c r="I13" s="11">
        <f t="shared" ref="I13:I17" si="4">$B$6*IF($B$8=1,IF(G13&gt;H13,G13,0),MAX(0,G13-H13))</f>
        <v>135000</v>
      </c>
      <c r="J13" s="11">
        <f t="shared" ref="J13:J17" si="5">D13-E13-I13</f>
        <v>5540000</v>
      </c>
      <c r="K13" s="11">
        <f>MAX($B$4,J13)</f>
        <v>5540000</v>
      </c>
      <c r="L13" s="11">
        <f>$B$4*(1+B13)</f>
        <v>5750000</v>
      </c>
    </row>
    <row r="14" spans="1:12">
      <c r="A14" s="9">
        <v>2</v>
      </c>
      <c r="B14" s="10">
        <v>-0.05</v>
      </c>
      <c r="C14" s="11">
        <f t="shared" ref="C14:C17" si="6">J13</f>
        <v>5540000</v>
      </c>
      <c r="D14" s="11">
        <f t="shared" si="0"/>
        <v>5263000</v>
      </c>
      <c r="E14" s="11">
        <f t="shared" si="1"/>
        <v>83100</v>
      </c>
      <c r="F14" s="11">
        <f t="shared" ref="F14:F17" si="7">IF($B$9=1,K13,C14)</f>
        <v>5540000</v>
      </c>
      <c r="G14" s="11">
        <f t="shared" si="2"/>
        <v>-360100</v>
      </c>
      <c r="H14" s="11">
        <f t="shared" si="3"/>
        <v>0</v>
      </c>
      <c r="I14" s="11">
        <f t="shared" si="4"/>
        <v>0</v>
      </c>
      <c r="J14" s="11">
        <f t="shared" si="5"/>
        <v>5179900</v>
      </c>
      <c r="K14" s="11">
        <f t="shared" ref="K14:K17" si="8">MAX(K13,J14)</f>
        <v>5540000</v>
      </c>
      <c r="L14" s="11">
        <f t="shared" ref="L14:L17" si="9">L13*(1+B14)</f>
        <v>5462500</v>
      </c>
    </row>
    <row r="15" spans="1:12">
      <c r="A15" s="9">
        <v>3</v>
      </c>
      <c r="B15" s="10">
        <v>0.2</v>
      </c>
      <c r="C15" s="11">
        <f t="shared" si="6"/>
        <v>5179900</v>
      </c>
      <c r="D15" s="11">
        <f t="shared" si="0"/>
        <v>6215880</v>
      </c>
      <c r="E15" s="11">
        <f t="shared" si="1"/>
        <v>77698.5</v>
      </c>
      <c r="F15" s="11">
        <f t="shared" si="7"/>
        <v>5179900</v>
      </c>
      <c r="G15" s="11">
        <f t="shared" si="2"/>
        <v>958281.5</v>
      </c>
      <c r="H15" s="11">
        <f t="shared" si="3"/>
        <v>0</v>
      </c>
      <c r="I15" s="11">
        <f t="shared" si="4"/>
        <v>191656.3</v>
      </c>
      <c r="J15" s="11">
        <f t="shared" si="5"/>
        <v>5946525.2</v>
      </c>
      <c r="K15" s="11">
        <f t="shared" si="8"/>
        <v>5946525.2</v>
      </c>
      <c r="L15" s="11">
        <f t="shared" si="9"/>
        <v>6555000</v>
      </c>
    </row>
    <row r="16" spans="1:12">
      <c r="A16" s="9">
        <v>4</v>
      </c>
      <c r="B16" s="10">
        <v>0.1</v>
      </c>
      <c r="C16" s="11">
        <f t="shared" si="6"/>
        <v>5946525.2</v>
      </c>
      <c r="D16" s="11">
        <f t="shared" si="0"/>
        <v>6541177.72</v>
      </c>
      <c r="E16" s="11">
        <f t="shared" si="1"/>
        <v>89197.878</v>
      </c>
      <c r="F16" s="11">
        <f t="shared" si="7"/>
        <v>5946525.2</v>
      </c>
      <c r="G16" s="11">
        <f t="shared" si="2"/>
        <v>505454.642000001</v>
      </c>
      <c r="H16" s="11">
        <f t="shared" si="3"/>
        <v>0</v>
      </c>
      <c r="I16" s="11">
        <f t="shared" si="4"/>
        <v>101090.9284</v>
      </c>
      <c r="J16" s="11">
        <f t="shared" si="5"/>
        <v>6350888.9136</v>
      </c>
      <c r="K16" s="11">
        <f t="shared" si="8"/>
        <v>6350888.9136</v>
      </c>
      <c r="L16" s="11">
        <f t="shared" si="9"/>
        <v>7210500</v>
      </c>
    </row>
    <row r="17" spans="1:12">
      <c r="A17" s="9">
        <v>5</v>
      </c>
      <c r="B17" s="10">
        <v>0.12</v>
      </c>
      <c r="C17" s="11">
        <f t="shared" si="6"/>
        <v>6350888.9136</v>
      </c>
      <c r="D17" s="11">
        <f t="shared" si="0"/>
        <v>7112995.583232</v>
      </c>
      <c r="E17" s="11">
        <f t="shared" si="1"/>
        <v>95263.333704</v>
      </c>
      <c r="F17" s="11">
        <f t="shared" si="7"/>
        <v>6350888.9136</v>
      </c>
      <c r="G17" s="11">
        <f t="shared" si="2"/>
        <v>666843.335928001</v>
      </c>
      <c r="H17" s="11">
        <f t="shared" si="3"/>
        <v>0</v>
      </c>
      <c r="I17" s="11">
        <f t="shared" si="4"/>
        <v>133368.6671856</v>
      </c>
      <c r="J17" s="11">
        <f t="shared" si="5"/>
        <v>6884363.5823424</v>
      </c>
      <c r="K17" s="11">
        <f t="shared" si="8"/>
        <v>6884363.5823424</v>
      </c>
      <c r="L17" s="11">
        <f t="shared" si="9"/>
        <v>8075760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8075760</v>
      </c>
    </row>
    <row r="23" spans="1:12">
      <c r="A23" s="4" t="s">
        <v>61</v>
      </c>
      <c r="B23" s="11">
        <f>J17</f>
        <v>6884363.5823424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6884363.5823424</v>
      </c>
    </row>
    <row r="26" spans="1:12">
      <c r="A26" s="4" t="s">
        <v>63</v>
      </c>
      <c r="B26" s="11">
        <f>SUM(E13:E17)</f>
        <v>420259.711704</v>
      </c>
    </row>
    <row r="27" spans="1:12">
      <c r="A27" s="4" t="s">
        <v>64</v>
      </c>
      <c r="B27" s="11">
        <f>SUM(I13:I17)</f>
        <v>561115.8955856</v>
      </c>
    </row>
    <row r="28" spans="1:12">
      <c r="A28" s="4" t="s">
        <v>65</v>
      </c>
      <c r="B28" s="11">
        <f>B24+B26+B27</f>
        <v>981375.6072896</v>
      </c>
    </row>
    <row r="29" spans="1:12">
      <c r="A29" s="4" t="s">
        <v>29</v>
      </c>
      <c r="B29" s="12">
        <f>(B22/B4)^(1/B21)-1</f>
        <v>0.100633379871739</v>
      </c>
    </row>
    <row r="30" spans="1:12">
      <c r="A30" s="4" t="s">
        <v>30</v>
      </c>
      <c r="B30" s="12">
        <f>(B25/B4)^(1/B21)-1</f>
        <v>0.0660529071841642</v>
      </c>
    </row>
    <row r="31" spans="1:12">
      <c r="A31" s="4" t="s">
        <v>66</v>
      </c>
      <c r="B31" s="12">
        <f>B29-B30</f>
        <v>0.0345804726875747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0.14</v>
      </c>
      <c r="C13" s="11">
        <f>$B$4</f>
        <v>5000000</v>
      </c>
      <c r="D13" s="11">
        <f t="shared" ref="D13:D17" si="0">C13*(1+B13)</f>
        <v>5700000</v>
      </c>
      <c r="E13" s="11">
        <f t="shared" ref="E13:E17" si="1">C13*$B$5</f>
        <v>0</v>
      </c>
      <c r="F13" s="11">
        <f>IF($B$9=1,$B$4,C13)</f>
        <v>5000000</v>
      </c>
      <c r="G13" s="11">
        <f t="shared" ref="G13:G17" si="2">D13-E13-F13</f>
        <v>700000.000000001</v>
      </c>
      <c r="H13" s="11">
        <f t="shared" ref="H13:H17" si="3">F13*$B$7</f>
        <v>500000</v>
      </c>
      <c r="I13" s="11">
        <f t="shared" ref="I13:I17" si="4">$B$6*IF($B$8=1,IF(G13&gt;H13,G13,0),MAX(0,G13-H13))</f>
        <v>40000.0000000002</v>
      </c>
      <c r="J13" s="11">
        <f t="shared" ref="J13:J17" si="5">D13-E13-I13</f>
        <v>5660000</v>
      </c>
      <c r="K13" s="11">
        <f>MAX($B$4,J13)</f>
        <v>5660000</v>
      </c>
      <c r="L13" s="11">
        <f>$B$4*(1+B13)</f>
        <v>5700000</v>
      </c>
    </row>
    <row r="14" spans="1:12">
      <c r="A14" s="9">
        <v>2</v>
      </c>
      <c r="B14" s="10">
        <v>0.08</v>
      </c>
      <c r="C14" s="11">
        <f t="shared" ref="C14:C17" si="6">J13</f>
        <v>5660000</v>
      </c>
      <c r="D14" s="11">
        <f t="shared" si="0"/>
        <v>6112800</v>
      </c>
      <c r="E14" s="11">
        <f t="shared" si="1"/>
        <v>0</v>
      </c>
      <c r="F14" s="11">
        <f t="shared" ref="F14:F17" si="7">IF($B$9=1,K13,C14)</f>
        <v>5660000</v>
      </c>
      <c r="G14" s="11">
        <f t="shared" si="2"/>
        <v>452800.000000001</v>
      </c>
      <c r="H14" s="11">
        <f t="shared" si="3"/>
        <v>566000</v>
      </c>
      <c r="I14" s="11">
        <f t="shared" si="4"/>
        <v>0</v>
      </c>
      <c r="J14" s="11">
        <f t="shared" si="5"/>
        <v>6112800</v>
      </c>
      <c r="K14" s="11">
        <f t="shared" ref="K14:K17" si="8">MAX(K13,J14)</f>
        <v>6112800</v>
      </c>
      <c r="L14" s="11">
        <f t="shared" ref="L14:L17" si="9">L13*(1+B14)</f>
        <v>6156000</v>
      </c>
    </row>
    <row r="15" spans="1:12">
      <c r="A15" s="9">
        <v>3</v>
      </c>
      <c r="B15" s="10">
        <v>0.18</v>
      </c>
      <c r="C15" s="11">
        <f t="shared" si="6"/>
        <v>6112800</v>
      </c>
      <c r="D15" s="11">
        <f t="shared" si="0"/>
        <v>7213104</v>
      </c>
      <c r="E15" s="11">
        <f t="shared" si="1"/>
        <v>0</v>
      </c>
      <c r="F15" s="11">
        <f t="shared" si="7"/>
        <v>6112800</v>
      </c>
      <c r="G15" s="11">
        <f t="shared" si="2"/>
        <v>1100304</v>
      </c>
      <c r="H15" s="11">
        <f t="shared" si="3"/>
        <v>611280</v>
      </c>
      <c r="I15" s="11">
        <f t="shared" si="4"/>
        <v>97804.8</v>
      </c>
      <c r="J15" s="11">
        <f t="shared" si="5"/>
        <v>7115299.2</v>
      </c>
      <c r="K15" s="11">
        <f t="shared" si="8"/>
        <v>7115299.2</v>
      </c>
      <c r="L15" s="11">
        <f t="shared" si="9"/>
        <v>7264080</v>
      </c>
    </row>
    <row r="16" spans="1:12">
      <c r="A16" s="9">
        <v>4</v>
      </c>
      <c r="B16" s="10">
        <v>0.12</v>
      </c>
      <c r="C16" s="11">
        <f t="shared" si="6"/>
        <v>7115299.2</v>
      </c>
      <c r="D16" s="11">
        <f t="shared" si="0"/>
        <v>7969135.104</v>
      </c>
      <c r="E16" s="11">
        <f t="shared" si="1"/>
        <v>0</v>
      </c>
      <c r="F16" s="11">
        <f t="shared" si="7"/>
        <v>7115299.2</v>
      </c>
      <c r="G16" s="11">
        <f t="shared" si="2"/>
        <v>853835.904000001</v>
      </c>
      <c r="H16" s="11">
        <f t="shared" si="3"/>
        <v>711529.92</v>
      </c>
      <c r="I16" s="11">
        <f t="shared" si="4"/>
        <v>28461.1968000002</v>
      </c>
      <c r="J16" s="11">
        <f t="shared" si="5"/>
        <v>7940673.9072</v>
      </c>
      <c r="K16" s="11">
        <f t="shared" si="8"/>
        <v>7940673.9072</v>
      </c>
      <c r="L16" s="11">
        <f t="shared" si="9"/>
        <v>8135769.6</v>
      </c>
    </row>
    <row r="17" spans="1:12">
      <c r="A17" s="9">
        <v>5</v>
      </c>
      <c r="B17" s="10">
        <v>0.09</v>
      </c>
      <c r="C17" s="11">
        <f t="shared" si="6"/>
        <v>7940673.9072</v>
      </c>
      <c r="D17" s="11">
        <f t="shared" si="0"/>
        <v>8655334.558848</v>
      </c>
      <c r="E17" s="11">
        <f t="shared" si="1"/>
        <v>0</v>
      </c>
      <c r="F17" s="11">
        <f t="shared" si="7"/>
        <v>7940673.9072</v>
      </c>
      <c r="G17" s="11">
        <f t="shared" si="2"/>
        <v>714660.651648002</v>
      </c>
      <c r="H17" s="11">
        <f t="shared" si="3"/>
        <v>794067.39072</v>
      </c>
      <c r="I17" s="11">
        <f t="shared" si="4"/>
        <v>0</v>
      </c>
      <c r="J17" s="11">
        <f t="shared" si="5"/>
        <v>8655334.558848</v>
      </c>
      <c r="K17" s="11">
        <f t="shared" si="8"/>
        <v>8655334.558848</v>
      </c>
      <c r="L17" s="11">
        <f t="shared" si="9"/>
        <v>8867988.864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8867988.864</v>
      </c>
    </row>
    <row r="23" spans="1:12">
      <c r="A23" s="4" t="s">
        <v>61</v>
      </c>
      <c r="B23" s="11">
        <f>J17</f>
        <v>8655334.558848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8655334.558848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166265.9968</v>
      </c>
    </row>
    <row r="28" spans="1:12">
      <c r="A28" s="4" t="s">
        <v>65</v>
      </c>
      <c r="B28" s="11">
        <f>B24+B26+B27</f>
        <v>166265.9968</v>
      </c>
    </row>
    <row r="29" spans="1:12">
      <c r="A29" s="4" t="s">
        <v>29</v>
      </c>
      <c r="B29" s="12">
        <f>(B22/B4)^(1/B21)-1</f>
        <v>0.121427048501153</v>
      </c>
    </row>
    <row r="30" spans="1:12">
      <c r="A30" s="4" t="s">
        <v>30</v>
      </c>
      <c r="B30" s="12">
        <f>(B25/B4)^(1/B21)-1</f>
        <v>0.115996341898822</v>
      </c>
    </row>
    <row r="31" spans="1:12">
      <c r="A31" s="4" t="s">
        <v>66</v>
      </c>
      <c r="B31" s="12">
        <f>B29-B30</f>
        <v>0.00543070660233158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19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1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0.14</v>
      </c>
      <c r="C13" s="11">
        <f>$B$4</f>
        <v>5000000</v>
      </c>
      <c r="D13" s="11">
        <f t="shared" ref="D13:D17" si="0">C13*(1+B13)</f>
        <v>5700000</v>
      </c>
      <c r="E13" s="11">
        <f t="shared" ref="E13:E17" si="1">C13*$B$5</f>
        <v>0</v>
      </c>
      <c r="F13" s="11">
        <f>IF($B$9=1,$B$4,C13)</f>
        <v>5000000</v>
      </c>
      <c r="G13" s="11">
        <f t="shared" ref="G13:G17" si="2">D13-E13-F13</f>
        <v>700000.000000001</v>
      </c>
      <c r="H13" s="11">
        <f t="shared" ref="H13:H17" si="3">F13*$B$7</f>
        <v>500000</v>
      </c>
      <c r="I13" s="11">
        <f t="shared" ref="I13:I17" si="4">$B$6*IF($B$8=1,IF(G13&gt;H13,G13,0),MAX(0,G13-H13))</f>
        <v>140000</v>
      </c>
      <c r="J13" s="11">
        <f t="shared" ref="J13:J17" si="5">D13-E13-I13</f>
        <v>5560000</v>
      </c>
      <c r="K13" s="11">
        <f>MAX($B$4,J13)</f>
        <v>5560000</v>
      </c>
      <c r="L13" s="11">
        <f>$B$4*(1+B13)</f>
        <v>5700000</v>
      </c>
    </row>
    <row r="14" spans="1:12">
      <c r="A14" s="9">
        <v>2</v>
      </c>
      <c r="B14" s="10">
        <v>0.08</v>
      </c>
      <c r="C14" s="11">
        <f t="shared" ref="C14:C17" si="6">J13</f>
        <v>5560000</v>
      </c>
      <c r="D14" s="11">
        <f t="shared" si="0"/>
        <v>6004800</v>
      </c>
      <c r="E14" s="11">
        <f t="shared" si="1"/>
        <v>0</v>
      </c>
      <c r="F14" s="11">
        <f t="shared" ref="F14:F17" si="7">IF($B$9=1,K13,C14)</f>
        <v>5560000</v>
      </c>
      <c r="G14" s="11">
        <f t="shared" si="2"/>
        <v>444800.000000001</v>
      </c>
      <c r="H14" s="11">
        <f t="shared" si="3"/>
        <v>556000</v>
      </c>
      <c r="I14" s="11">
        <f t="shared" si="4"/>
        <v>0</v>
      </c>
      <c r="J14" s="11">
        <f t="shared" si="5"/>
        <v>6004800</v>
      </c>
      <c r="K14" s="11">
        <f t="shared" ref="K14:K17" si="8">MAX(K13,J14)</f>
        <v>6004800</v>
      </c>
      <c r="L14" s="11">
        <f t="shared" ref="L14:L17" si="9">L13*(1+B14)</f>
        <v>6156000</v>
      </c>
    </row>
    <row r="15" spans="1:12">
      <c r="A15" s="9">
        <v>3</v>
      </c>
      <c r="B15" s="10">
        <v>0.18</v>
      </c>
      <c r="C15" s="11">
        <f t="shared" si="6"/>
        <v>6004800</v>
      </c>
      <c r="D15" s="11">
        <f t="shared" si="0"/>
        <v>7085664</v>
      </c>
      <c r="E15" s="11">
        <f t="shared" si="1"/>
        <v>0</v>
      </c>
      <c r="F15" s="11">
        <f t="shared" si="7"/>
        <v>6004800</v>
      </c>
      <c r="G15" s="11">
        <f t="shared" si="2"/>
        <v>1080864</v>
      </c>
      <c r="H15" s="11">
        <f t="shared" si="3"/>
        <v>600480</v>
      </c>
      <c r="I15" s="11">
        <f t="shared" si="4"/>
        <v>216172.8</v>
      </c>
      <c r="J15" s="11">
        <f t="shared" si="5"/>
        <v>6869491.2</v>
      </c>
      <c r="K15" s="11">
        <f t="shared" si="8"/>
        <v>6869491.2</v>
      </c>
      <c r="L15" s="11">
        <f t="shared" si="9"/>
        <v>7264080</v>
      </c>
    </row>
    <row r="16" spans="1:12">
      <c r="A16" s="9">
        <v>4</v>
      </c>
      <c r="B16" s="10">
        <v>0.12</v>
      </c>
      <c r="C16" s="11">
        <f t="shared" si="6"/>
        <v>6869491.2</v>
      </c>
      <c r="D16" s="11">
        <f t="shared" si="0"/>
        <v>7693830.144</v>
      </c>
      <c r="E16" s="11">
        <f t="shared" si="1"/>
        <v>0</v>
      </c>
      <c r="F16" s="11">
        <f t="shared" si="7"/>
        <v>6869491.2</v>
      </c>
      <c r="G16" s="11">
        <f t="shared" si="2"/>
        <v>824338.944000001</v>
      </c>
      <c r="H16" s="11">
        <f t="shared" si="3"/>
        <v>686949.12</v>
      </c>
      <c r="I16" s="11">
        <f t="shared" si="4"/>
        <v>164867.7888</v>
      </c>
      <c r="J16" s="11">
        <f t="shared" si="5"/>
        <v>7528962.3552</v>
      </c>
      <c r="K16" s="11">
        <f t="shared" si="8"/>
        <v>7528962.3552</v>
      </c>
      <c r="L16" s="11">
        <f t="shared" si="9"/>
        <v>8135769.6</v>
      </c>
    </row>
    <row r="17" spans="1:12">
      <c r="A17" s="9">
        <v>5</v>
      </c>
      <c r="B17" s="10">
        <v>0.09</v>
      </c>
      <c r="C17" s="11">
        <f t="shared" si="6"/>
        <v>7528962.3552</v>
      </c>
      <c r="D17" s="11">
        <f t="shared" si="0"/>
        <v>8206568.967168</v>
      </c>
      <c r="E17" s="11">
        <f t="shared" si="1"/>
        <v>0</v>
      </c>
      <c r="F17" s="11">
        <f t="shared" si="7"/>
        <v>7528962.3552</v>
      </c>
      <c r="G17" s="11">
        <f t="shared" si="2"/>
        <v>677606.611968</v>
      </c>
      <c r="H17" s="11">
        <f t="shared" si="3"/>
        <v>752896.23552</v>
      </c>
      <c r="I17" s="11">
        <f t="shared" si="4"/>
        <v>0</v>
      </c>
      <c r="J17" s="11">
        <f t="shared" si="5"/>
        <v>8206568.967168</v>
      </c>
      <c r="K17" s="11">
        <f t="shared" si="8"/>
        <v>8206568.967168</v>
      </c>
      <c r="L17" s="11">
        <f t="shared" si="9"/>
        <v>8867988.864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8867988.864</v>
      </c>
    </row>
    <row r="23" spans="1:12">
      <c r="A23" s="4" t="s">
        <v>61</v>
      </c>
      <c r="B23" s="11">
        <f>J17</f>
        <v>8206568.967168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8206568.967168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521040.5888</v>
      </c>
    </row>
    <row r="28" spans="1:12">
      <c r="A28" s="4" t="s">
        <v>65</v>
      </c>
      <c r="B28" s="11">
        <f>B24+B26+B27</f>
        <v>521040.5888</v>
      </c>
    </row>
    <row r="29" spans="1:12">
      <c r="A29" s="4" t="s">
        <v>29</v>
      </c>
      <c r="B29" s="12">
        <f>(B22/B4)^(1/B21)-1</f>
        <v>0.121427048501153</v>
      </c>
    </row>
    <row r="30" spans="1:12">
      <c r="A30" s="4" t="s">
        <v>30</v>
      </c>
      <c r="B30" s="12">
        <f>(B25/B4)^(1/B21)-1</f>
        <v>0.104176052447374</v>
      </c>
    </row>
    <row r="31" spans="1:12">
      <c r="A31" s="4" t="s">
        <v>66</v>
      </c>
      <c r="B31" s="12">
        <f>B29-B30</f>
        <v>0.0172509960537794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5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71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0.01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0.08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1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0.18</v>
      </c>
      <c r="C13" s="11">
        <f>$B$4</f>
        <v>5000000</v>
      </c>
      <c r="D13" s="11">
        <f t="shared" ref="D13:D17" si="0">C13*(1+B13)</f>
        <v>5900000</v>
      </c>
      <c r="E13" s="11">
        <f t="shared" ref="E13:E17" si="1">C13*$B$5</f>
        <v>50000</v>
      </c>
      <c r="F13" s="11">
        <f>IF($B$9=1,$B$4,C13)</f>
        <v>5000000</v>
      </c>
      <c r="G13" s="11">
        <f t="shared" ref="G13:G17" si="2">D13-E13-F13</f>
        <v>850000</v>
      </c>
      <c r="H13" s="11">
        <f t="shared" ref="H13:H17" si="3">F13*$B$7</f>
        <v>400000</v>
      </c>
      <c r="I13" s="11">
        <f t="shared" ref="I13:I17" si="4">$B$6*IF($B$8=1,IF(G13&gt;H13,G13,0),MAX(0,G13-H13))</f>
        <v>90000</v>
      </c>
      <c r="J13" s="11">
        <f t="shared" ref="J13:J17" si="5">D13-E13-I13</f>
        <v>5760000</v>
      </c>
      <c r="K13" s="11">
        <f>MAX($B$4,J13)</f>
        <v>5760000</v>
      </c>
      <c r="L13" s="11">
        <f>$B$4*(1+B13)</f>
        <v>5900000</v>
      </c>
    </row>
    <row r="14" spans="1:12">
      <c r="A14" s="9">
        <v>2</v>
      </c>
      <c r="B14" s="10">
        <v>-0.12</v>
      </c>
      <c r="C14" s="11">
        <f t="shared" ref="C14:C17" si="6">J13</f>
        <v>5760000</v>
      </c>
      <c r="D14" s="11">
        <f t="shared" si="0"/>
        <v>5068800</v>
      </c>
      <c r="E14" s="11">
        <f t="shared" si="1"/>
        <v>57600</v>
      </c>
      <c r="F14" s="11">
        <f t="shared" ref="F14:F17" si="7">IF($B$9=1,K13,C14)</f>
        <v>5760000</v>
      </c>
      <c r="G14" s="11">
        <f t="shared" si="2"/>
        <v>-748800</v>
      </c>
      <c r="H14" s="11">
        <f t="shared" si="3"/>
        <v>460800</v>
      </c>
      <c r="I14" s="11">
        <f t="shared" si="4"/>
        <v>0</v>
      </c>
      <c r="J14" s="11">
        <f t="shared" si="5"/>
        <v>5011200</v>
      </c>
      <c r="K14" s="11">
        <f t="shared" ref="K14:K17" si="8">MAX(K13,J14)</f>
        <v>5760000</v>
      </c>
      <c r="L14" s="11">
        <f t="shared" ref="L14:L17" si="9">L13*(1+B14)</f>
        <v>5192000</v>
      </c>
    </row>
    <row r="15" spans="1:12">
      <c r="A15" s="9">
        <v>3</v>
      </c>
      <c r="B15" s="10">
        <v>0.1</v>
      </c>
      <c r="C15" s="11">
        <f t="shared" si="6"/>
        <v>5011200</v>
      </c>
      <c r="D15" s="11">
        <f t="shared" si="0"/>
        <v>5512320</v>
      </c>
      <c r="E15" s="11">
        <f t="shared" si="1"/>
        <v>50112</v>
      </c>
      <c r="F15" s="11">
        <f t="shared" si="7"/>
        <v>5760000</v>
      </c>
      <c r="G15" s="11">
        <f t="shared" si="2"/>
        <v>-297792</v>
      </c>
      <c r="H15" s="11">
        <f t="shared" si="3"/>
        <v>460800</v>
      </c>
      <c r="I15" s="11">
        <f t="shared" si="4"/>
        <v>0</v>
      </c>
      <c r="J15" s="11">
        <f t="shared" si="5"/>
        <v>5462208</v>
      </c>
      <c r="K15" s="11">
        <f t="shared" si="8"/>
        <v>5760000</v>
      </c>
      <c r="L15" s="11">
        <f t="shared" si="9"/>
        <v>5711200</v>
      </c>
    </row>
    <row r="16" spans="1:12">
      <c r="A16" s="9">
        <v>4</v>
      </c>
      <c r="B16" s="10">
        <v>0.22</v>
      </c>
      <c r="C16" s="11">
        <f t="shared" si="6"/>
        <v>5462208</v>
      </c>
      <c r="D16" s="11">
        <f t="shared" si="0"/>
        <v>6663893.76</v>
      </c>
      <c r="E16" s="11">
        <f t="shared" si="1"/>
        <v>54622.08</v>
      </c>
      <c r="F16" s="11">
        <f t="shared" si="7"/>
        <v>5760000</v>
      </c>
      <c r="G16" s="11">
        <f t="shared" si="2"/>
        <v>849271.68</v>
      </c>
      <c r="H16" s="11">
        <f t="shared" si="3"/>
        <v>460800</v>
      </c>
      <c r="I16" s="11">
        <f t="shared" si="4"/>
        <v>77694.3359999999</v>
      </c>
      <c r="J16" s="11">
        <f t="shared" si="5"/>
        <v>6531577.344</v>
      </c>
      <c r="K16" s="11">
        <f t="shared" si="8"/>
        <v>6531577.344</v>
      </c>
      <c r="L16" s="11">
        <f t="shared" si="9"/>
        <v>6967664</v>
      </c>
    </row>
    <row r="17" spans="1:12">
      <c r="A17" s="9">
        <v>5</v>
      </c>
      <c r="B17" s="10">
        <v>0.09</v>
      </c>
      <c r="C17" s="11">
        <f t="shared" si="6"/>
        <v>6531577.344</v>
      </c>
      <c r="D17" s="11">
        <f t="shared" si="0"/>
        <v>7119419.30496</v>
      </c>
      <c r="E17" s="11">
        <f t="shared" si="1"/>
        <v>65315.77344</v>
      </c>
      <c r="F17" s="11">
        <f t="shared" si="7"/>
        <v>6531577.344</v>
      </c>
      <c r="G17" s="11">
        <f t="shared" si="2"/>
        <v>522526.187520001</v>
      </c>
      <c r="H17" s="11">
        <f t="shared" si="3"/>
        <v>522526.18752</v>
      </c>
      <c r="I17" s="11">
        <f t="shared" si="4"/>
        <v>2.21189111471176e-10</v>
      </c>
      <c r="J17" s="11">
        <f t="shared" si="5"/>
        <v>7054103.53152</v>
      </c>
      <c r="K17" s="11">
        <f t="shared" si="8"/>
        <v>7054103.53152</v>
      </c>
      <c r="L17" s="11">
        <f t="shared" si="9"/>
        <v>7594753.76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7594753.76</v>
      </c>
    </row>
    <row r="23" spans="1:12">
      <c r="A23" s="4" t="s">
        <v>61</v>
      </c>
      <c r="B23" s="11">
        <f>J17</f>
        <v>7054103.53152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7054103.53152</v>
      </c>
    </row>
    <row r="26" spans="1:12">
      <c r="A26" s="4" t="s">
        <v>63</v>
      </c>
      <c r="B26" s="11">
        <f>SUM(E13:E17)</f>
        <v>277649.85344</v>
      </c>
    </row>
    <row r="27" spans="1:12">
      <c r="A27" s="4" t="s">
        <v>64</v>
      </c>
      <c r="B27" s="11">
        <f>SUM(I13:I17)</f>
        <v>167694.336</v>
      </c>
    </row>
    <row r="28" spans="1:12">
      <c r="A28" s="4" t="s">
        <v>65</v>
      </c>
      <c r="B28" s="11">
        <f>B24+B26+B27</f>
        <v>445344.18944</v>
      </c>
    </row>
    <row r="29" spans="1:12">
      <c r="A29" s="4" t="s">
        <v>29</v>
      </c>
      <c r="B29" s="12">
        <f>(B22/B4)^(1/B21)-1</f>
        <v>0.0871982349288074</v>
      </c>
    </row>
    <row r="30" spans="1:12">
      <c r="A30" s="4" t="s">
        <v>30</v>
      </c>
      <c r="B30" s="12">
        <f>(B25/B4)^(1/B21)-1</f>
        <v>0.0712587075019175</v>
      </c>
    </row>
    <row r="31" spans="1:12">
      <c r="A31" s="4" t="s">
        <v>66</v>
      </c>
      <c r="B31" s="12">
        <f>B29-B30</f>
        <v>0.0159395274268899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72</v>
      </c>
    </row>
    <row r="2" spans="1:12">
      <c r="A2" s="2" t="s">
        <v>70</v>
      </c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0.119</v>
      </c>
      <c r="C13" s="11">
        <f>$B$4</f>
        <v>5000000</v>
      </c>
      <c r="D13" s="11">
        <f t="shared" ref="D13:D17" si="0">C13*(1+B13)</f>
        <v>5595000</v>
      </c>
      <c r="E13" s="11">
        <f t="shared" ref="E13:E17" si="1">C13*$B$5</f>
        <v>100000</v>
      </c>
      <c r="F13" s="11">
        <f>IF($B$9=1,$B$4,C13)</f>
        <v>5000000</v>
      </c>
      <c r="G13" s="11">
        <f t="shared" ref="G13:G17" si="2">D13-E13-F13</f>
        <v>495000</v>
      </c>
      <c r="H13" s="11">
        <f t="shared" ref="H13:H17" si="3">F13*$B$7</f>
        <v>500000</v>
      </c>
      <c r="I13" s="11">
        <f t="shared" ref="I13:I17" si="4">$B$6*IF($B$8=1,IF(G13&gt;H13,G13,0),MAX(0,G13-H13))</f>
        <v>0</v>
      </c>
      <c r="J13" s="11">
        <f t="shared" ref="J13:J17" si="5">D13-E13-I13</f>
        <v>5495000</v>
      </c>
      <c r="K13" s="11">
        <f>MAX($B$4,J13)</f>
        <v>5495000</v>
      </c>
      <c r="L13" s="11">
        <f>$B$4*(1+B13)</f>
        <v>5595000</v>
      </c>
    </row>
    <row r="14" spans="1:12">
      <c r="A14" s="9">
        <v>2</v>
      </c>
      <c r="B14" s="10">
        <v>0.121</v>
      </c>
      <c r="C14" s="11">
        <f t="shared" ref="C14:C17" si="6">J13</f>
        <v>5495000</v>
      </c>
      <c r="D14" s="11">
        <f t="shared" si="0"/>
        <v>6159895</v>
      </c>
      <c r="E14" s="11">
        <f t="shared" si="1"/>
        <v>109900</v>
      </c>
      <c r="F14" s="11">
        <f t="shared" ref="F14:F17" si="7">IF($B$9=1,K13,C14)</f>
        <v>5495000</v>
      </c>
      <c r="G14" s="11">
        <f t="shared" si="2"/>
        <v>554995</v>
      </c>
      <c r="H14" s="11">
        <f t="shared" si="3"/>
        <v>549500</v>
      </c>
      <c r="I14" s="11">
        <f t="shared" si="4"/>
        <v>1099</v>
      </c>
      <c r="J14" s="11">
        <f t="shared" si="5"/>
        <v>6048896</v>
      </c>
      <c r="K14" s="11">
        <f t="shared" ref="K14:K17" si="8">MAX(K13,J14)</f>
        <v>6048896</v>
      </c>
      <c r="L14" s="11">
        <f t="shared" ref="L14:L17" si="9">L13*(1+B14)</f>
        <v>6271995</v>
      </c>
    </row>
    <row r="15" spans="1:12">
      <c r="A15" s="9">
        <v>3</v>
      </c>
      <c r="B15" s="10">
        <v>0.119</v>
      </c>
      <c r="C15" s="11">
        <f t="shared" si="6"/>
        <v>6048896</v>
      </c>
      <c r="D15" s="11">
        <f t="shared" si="0"/>
        <v>6768714.624</v>
      </c>
      <c r="E15" s="11">
        <f t="shared" si="1"/>
        <v>120977.92</v>
      </c>
      <c r="F15" s="11">
        <f t="shared" si="7"/>
        <v>6048896</v>
      </c>
      <c r="G15" s="11">
        <f t="shared" si="2"/>
        <v>598840.704</v>
      </c>
      <c r="H15" s="11">
        <f t="shared" si="3"/>
        <v>604889.6</v>
      </c>
      <c r="I15" s="11">
        <f t="shared" si="4"/>
        <v>0</v>
      </c>
      <c r="J15" s="11">
        <f t="shared" si="5"/>
        <v>6647736.704</v>
      </c>
      <c r="K15" s="11">
        <f t="shared" si="8"/>
        <v>6647736.704</v>
      </c>
      <c r="L15" s="11">
        <f t="shared" si="9"/>
        <v>7018362.405</v>
      </c>
    </row>
    <row r="16" spans="1:12">
      <c r="A16" s="9">
        <v>4</v>
      </c>
      <c r="B16" s="10">
        <v>0.121</v>
      </c>
      <c r="C16" s="11">
        <f t="shared" si="6"/>
        <v>6647736.704</v>
      </c>
      <c r="D16" s="11">
        <f t="shared" si="0"/>
        <v>7452112.845184</v>
      </c>
      <c r="E16" s="11">
        <f t="shared" si="1"/>
        <v>132954.73408</v>
      </c>
      <c r="F16" s="11">
        <f t="shared" si="7"/>
        <v>6647736.704</v>
      </c>
      <c r="G16" s="11">
        <f t="shared" si="2"/>
        <v>671421.407104</v>
      </c>
      <c r="H16" s="11">
        <f t="shared" si="3"/>
        <v>664773.6704</v>
      </c>
      <c r="I16" s="11">
        <f t="shared" si="4"/>
        <v>1329.54734080008</v>
      </c>
      <c r="J16" s="11">
        <f t="shared" si="5"/>
        <v>7317828.5637632</v>
      </c>
      <c r="K16" s="11">
        <f t="shared" si="8"/>
        <v>7317828.5637632</v>
      </c>
      <c r="L16" s="11">
        <f t="shared" si="9"/>
        <v>7867584.256005</v>
      </c>
    </row>
    <row r="17" spans="1:12">
      <c r="A17" s="9">
        <v>5</v>
      </c>
      <c r="B17" s="10">
        <v>0.05</v>
      </c>
      <c r="C17" s="11">
        <f t="shared" si="6"/>
        <v>7317828.5637632</v>
      </c>
      <c r="D17" s="11">
        <f t="shared" si="0"/>
        <v>7683719.99195136</v>
      </c>
      <c r="E17" s="11">
        <f t="shared" si="1"/>
        <v>146356.571275264</v>
      </c>
      <c r="F17" s="11">
        <f t="shared" si="7"/>
        <v>7317828.5637632</v>
      </c>
      <c r="G17" s="11">
        <f t="shared" si="2"/>
        <v>219534.856912896</v>
      </c>
      <c r="H17" s="11">
        <f t="shared" si="3"/>
        <v>731782.85637632</v>
      </c>
      <c r="I17" s="11">
        <f t="shared" si="4"/>
        <v>0</v>
      </c>
      <c r="J17" s="11">
        <f t="shared" si="5"/>
        <v>7537363.4206761</v>
      </c>
      <c r="K17" s="11">
        <f t="shared" si="8"/>
        <v>7537363.4206761</v>
      </c>
      <c r="L17" s="11">
        <f t="shared" si="9"/>
        <v>8260963.46880525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8260963.46880525</v>
      </c>
    </row>
    <row r="23" spans="1:12">
      <c r="A23" s="4" t="s">
        <v>61</v>
      </c>
      <c r="B23" s="11">
        <f>J17</f>
        <v>7537363.4206761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7537363.4206761</v>
      </c>
    </row>
    <row r="26" spans="1:12">
      <c r="A26" s="4" t="s">
        <v>63</v>
      </c>
      <c r="B26" s="11">
        <f>SUM(E13:E17)</f>
        <v>610189.225355264</v>
      </c>
    </row>
    <row r="27" spans="1:12">
      <c r="A27" s="4" t="s">
        <v>64</v>
      </c>
      <c r="B27" s="11">
        <f>SUM(I13:I17)</f>
        <v>2428.54734080008</v>
      </c>
    </row>
    <row r="28" spans="1:12">
      <c r="A28" s="4" t="s">
        <v>65</v>
      </c>
      <c r="B28" s="11">
        <f>B24+B26+B27</f>
        <v>612617.772696064</v>
      </c>
    </row>
    <row r="29" spans="1:12">
      <c r="A29" s="4" t="s">
        <v>29</v>
      </c>
      <c r="B29" s="12">
        <f>(B22/B4)^(1/B21)-1</f>
        <v>0.105635919504828</v>
      </c>
    </row>
    <row r="30" spans="1:12">
      <c r="A30" s="4" t="s">
        <v>30</v>
      </c>
      <c r="B30" s="12">
        <f>(B25/B4)^(1/B21)-1</f>
        <v>0.0855501464380672</v>
      </c>
    </row>
    <row r="31" spans="1:12">
      <c r="A31" s="4" t="s">
        <v>66</v>
      </c>
      <c r="B31" s="12">
        <f>B29-B30</f>
        <v>0.0200857730667607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73</v>
      </c>
    </row>
    <row r="2" spans="1:12">
      <c r="A2" s="2"/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</v>
      </c>
    </row>
    <row r="6" spans="1:12">
      <c r="A6" s="4" t="s">
        <v>41</v>
      </c>
      <c r="B6" s="6">
        <v>0.2</v>
      </c>
    </row>
    <row r="7" spans="1:12">
      <c r="A7" s="4" t="s">
        <v>42</v>
      </c>
      <c r="B7" s="6">
        <v>0.1</v>
      </c>
    </row>
    <row r="8" spans="1:12">
      <c r="A8" s="4" t="s">
        <v>43</v>
      </c>
      <c r="B8" s="7">
        <v>1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0.119</v>
      </c>
      <c r="C13" s="11">
        <f>$B$4</f>
        <v>5000000</v>
      </c>
      <c r="D13" s="11">
        <f t="shared" ref="D13:D17" si="0">C13*(1+B13)</f>
        <v>5595000</v>
      </c>
      <c r="E13" s="11">
        <f t="shared" ref="E13:E17" si="1">C13*$B$5</f>
        <v>100000</v>
      </c>
      <c r="F13" s="11">
        <f>IF($B$9=1,$B$4,C13)</f>
        <v>5000000</v>
      </c>
      <c r="G13" s="11">
        <f t="shared" ref="G13:G17" si="2">D13-E13-F13</f>
        <v>495000</v>
      </c>
      <c r="H13" s="11">
        <f t="shared" ref="H13:H17" si="3">F13*$B$7</f>
        <v>500000</v>
      </c>
      <c r="I13" s="11">
        <f t="shared" ref="I13:I17" si="4">$B$6*IF($B$8=1,IF(G13&gt;H13,G13,0),MAX(0,G13-H13))</f>
        <v>0</v>
      </c>
      <c r="J13" s="11">
        <f t="shared" ref="J13:J17" si="5">D13-E13-I13</f>
        <v>5495000</v>
      </c>
      <c r="K13" s="11">
        <f>MAX($B$4,J13)</f>
        <v>5495000</v>
      </c>
      <c r="L13" s="11">
        <f>$B$4*(1+B13)</f>
        <v>5595000</v>
      </c>
    </row>
    <row r="14" spans="1:12">
      <c r="A14" s="9">
        <v>2</v>
      </c>
      <c r="B14" s="10">
        <v>0.121</v>
      </c>
      <c r="C14" s="11">
        <f t="shared" ref="C14:C17" si="6">J13</f>
        <v>5495000</v>
      </c>
      <c r="D14" s="11">
        <f t="shared" si="0"/>
        <v>6159895</v>
      </c>
      <c r="E14" s="11">
        <f t="shared" si="1"/>
        <v>109900</v>
      </c>
      <c r="F14" s="11">
        <f t="shared" ref="F14:F17" si="7">IF($B$9=1,K13,C14)</f>
        <v>5495000</v>
      </c>
      <c r="G14" s="11">
        <f t="shared" si="2"/>
        <v>554995</v>
      </c>
      <c r="H14" s="11">
        <f t="shared" si="3"/>
        <v>549500</v>
      </c>
      <c r="I14" s="11">
        <f t="shared" si="4"/>
        <v>110999</v>
      </c>
      <c r="J14" s="11">
        <f t="shared" si="5"/>
        <v>5938996</v>
      </c>
      <c r="K14" s="11">
        <f t="shared" ref="K14:K17" si="8">MAX(K13,J14)</f>
        <v>5938996</v>
      </c>
      <c r="L14" s="11">
        <f t="shared" ref="L14:L17" si="9">L13*(1+B14)</f>
        <v>6271995</v>
      </c>
    </row>
    <row r="15" spans="1:12">
      <c r="A15" s="9">
        <v>3</v>
      </c>
      <c r="B15" s="10">
        <v>0.119</v>
      </c>
      <c r="C15" s="11">
        <f t="shared" si="6"/>
        <v>5938996</v>
      </c>
      <c r="D15" s="11">
        <f t="shared" si="0"/>
        <v>6645736.524</v>
      </c>
      <c r="E15" s="11">
        <f t="shared" si="1"/>
        <v>118779.92</v>
      </c>
      <c r="F15" s="11">
        <f t="shared" si="7"/>
        <v>5938996</v>
      </c>
      <c r="G15" s="11">
        <f t="shared" si="2"/>
        <v>587960.604</v>
      </c>
      <c r="H15" s="11">
        <f t="shared" si="3"/>
        <v>593899.6</v>
      </c>
      <c r="I15" s="11">
        <f t="shared" si="4"/>
        <v>0</v>
      </c>
      <c r="J15" s="11">
        <f t="shared" si="5"/>
        <v>6526956.604</v>
      </c>
      <c r="K15" s="11">
        <f t="shared" si="8"/>
        <v>6526956.604</v>
      </c>
      <c r="L15" s="11">
        <f t="shared" si="9"/>
        <v>7018362.405</v>
      </c>
    </row>
    <row r="16" spans="1:12">
      <c r="A16" s="9">
        <v>4</v>
      </c>
      <c r="B16" s="10">
        <v>0.121</v>
      </c>
      <c r="C16" s="11">
        <f t="shared" si="6"/>
        <v>6526956.604</v>
      </c>
      <c r="D16" s="11">
        <f t="shared" si="0"/>
        <v>7316718.353084</v>
      </c>
      <c r="E16" s="11">
        <f t="shared" si="1"/>
        <v>130539.13208</v>
      </c>
      <c r="F16" s="11">
        <f t="shared" si="7"/>
        <v>6526956.604</v>
      </c>
      <c r="G16" s="11">
        <f t="shared" si="2"/>
        <v>659222.617004001</v>
      </c>
      <c r="H16" s="11">
        <f t="shared" si="3"/>
        <v>652695.6604</v>
      </c>
      <c r="I16" s="11">
        <f t="shared" si="4"/>
        <v>131844.5234008</v>
      </c>
      <c r="J16" s="11">
        <f t="shared" si="5"/>
        <v>7054334.6976032</v>
      </c>
      <c r="K16" s="11">
        <f t="shared" si="8"/>
        <v>7054334.6976032</v>
      </c>
      <c r="L16" s="11">
        <f t="shared" si="9"/>
        <v>7867584.256005</v>
      </c>
    </row>
    <row r="17" spans="1:12">
      <c r="A17" s="9">
        <v>5</v>
      </c>
      <c r="B17" s="10">
        <v>0.05</v>
      </c>
      <c r="C17" s="11">
        <f t="shared" si="6"/>
        <v>7054334.6976032</v>
      </c>
      <c r="D17" s="11">
        <f t="shared" si="0"/>
        <v>7407051.43248336</v>
      </c>
      <c r="E17" s="11">
        <f t="shared" si="1"/>
        <v>141086.693952064</v>
      </c>
      <c r="F17" s="11">
        <f t="shared" si="7"/>
        <v>7054334.6976032</v>
      </c>
      <c r="G17" s="11">
        <f t="shared" si="2"/>
        <v>211630.040928097</v>
      </c>
      <c r="H17" s="11">
        <f t="shared" si="3"/>
        <v>705433.46976032</v>
      </c>
      <c r="I17" s="11">
        <f t="shared" si="4"/>
        <v>0</v>
      </c>
      <c r="J17" s="11">
        <f t="shared" si="5"/>
        <v>7265964.7385313</v>
      </c>
      <c r="K17" s="11">
        <f t="shared" si="8"/>
        <v>7265964.7385313</v>
      </c>
      <c r="L17" s="11">
        <f t="shared" si="9"/>
        <v>8260963.46880525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8260963.46880525</v>
      </c>
    </row>
    <row r="23" spans="1:12">
      <c r="A23" s="4" t="s">
        <v>61</v>
      </c>
      <c r="B23" s="11">
        <f>J17</f>
        <v>7265964.7385313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7265964.7385313</v>
      </c>
    </row>
    <row r="26" spans="1:12">
      <c r="A26" s="4" t="s">
        <v>63</v>
      </c>
      <c r="B26" s="11">
        <f>SUM(E13:E17)</f>
        <v>600305.746032064</v>
      </c>
    </row>
    <row r="27" spans="1:12">
      <c r="A27" s="4" t="s">
        <v>64</v>
      </c>
      <c r="B27" s="11">
        <f>SUM(I13:I17)</f>
        <v>242843.5234008</v>
      </c>
    </row>
    <row r="28" spans="1:12">
      <c r="A28" s="4" t="s">
        <v>65</v>
      </c>
      <c r="B28" s="11">
        <f>B24+B26+B27</f>
        <v>843149.269432864</v>
      </c>
    </row>
    <row r="29" spans="1:12">
      <c r="A29" s="4" t="s">
        <v>29</v>
      </c>
      <c r="B29" s="12">
        <f>(B22/B4)^(1/B21)-1</f>
        <v>0.105635919504828</v>
      </c>
    </row>
    <row r="30" spans="1:12">
      <c r="A30" s="4" t="s">
        <v>30</v>
      </c>
      <c r="B30" s="12">
        <f>(B25/B4)^(1/B21)-1</f>
        <v>0.0776175516266724</v>
      </c>
    </row>
    <row r="31" spans="1:12">
      <c r="A31" s="4" t="s">
        <v>66</v>
      </c>
      <c r="B31" s="12">
        <f>B29-B30</f>
        <v>0.0280183678781556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74</v>
      </c>
    </row>
    <row r="2" spans="1:12">
      <c r="A2" s="2"/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0.02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0.01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</v>
      </c>
      <c r="C13" s="11">
        <f>$B$4</f>
        <v>5000000</v>
      </c>
      <c r="D13" s="11">
        <f t="shared" ref="D13:D17" si="0">C13*(1+B13)</f>
        <v>5500000</v>
      </c>
      <c r="E13" s="11">
        <f t="shared" ref="E13:E17" si="1">C13*$B$5</f>
        <v>100000</v>
      </c>
      <c r="F13" s="11">
        <f>IF($B$9=1,$B$4,C13)</f>
        <v>5000000</v>
      </c>
      <c r="G13" s="11">
        <f t="shared" ref="G13:G17" si="2">D13-E13-F13</f>
        <v>400000</v>
      </c>
      <c r="H13" s="11">
        <f t="shared" ref="H13:H17" si="3">F13*$B$7</f>
        <v>0</v>
      </c>
      <c r="I13" s="11">
        <f t="shared" ref="I13:I17" si="4">$B$6*IF($B$8=1,IF(G13&gt;H13,G13,0),MAX(0,G13-H13))</f>
        <v>0</v>
      </c>
      <c r="J13" s="11">
        <f t="shared" ref="J13:J17" si="5">D13-E13-I13</f>
        <v>5400000</v>
      </c>
      <c r="K13" s="11">
        <f>MAX($B$4,J13)</f>
        <v>5400000</v>
      </c>
      <c r="L13" s="11">
        <f>$B$4*(1+B13)</f>
        <v>5500000</v>
      </c>
    </row>
    <row r="14" spans="1:12">
      <c r="A14" s="9">
        <v>2</v>
      </c>
      <c r="B14" s="10">
        <v>0.1</v>
      </c>
      <c r="C14" s="11">
        <f t="shared" ref="C14:C17" si="6">J13</f>
        <v>5400000</v>
      </c>
      <c r="D14" s="11">
        <f t="shared" si="0"/>
        <v>5940000</v>
      </c>
      <c r="E14" s="11">
        <f t="shared" si="1"/>
        <v>108000</v>
      </c>
      <c r="F14" s="11">
        <f t="shared" ref="F14:F17" si="7">IF($B$9=1,K13,C14)</f>
        <v>5400000</v>
      </c>
      <c r="G14" s="11">
        <f t="shared" si="2"/>
        <v>432000.000000001</v>
      </c>
      <c r="H14" s="11">
        <f t="shared" si="3"/>
        <v>0</v>
      </c>
      <c r="I14" s="11">
        <f t="shared" si="4"/>
        <v>0</v>
      </c>
      <c r="J14" s="11">
        <f t="shared" si="5"/>
        <v>5832000</v>
      </c>
      <c r="K14" s="11">
        <f t="shared" ref="K14:K17" si="8">MAX(K13,J14)</f>
        <v>5832000</v>
      </c>
      <c r="L14" s="11">
        <f t="shared" ref="L14:L17" si="9">L13*(1+B14)</f>
        <v>6050000</v>
      </c>
    </row>
    <row r="15" spans="1:12">
      <c r="A15" s="9">
        <v>3</v>
      </c>
      <c r="B15" s="10">
        <v>0.1</v>
      </c>
      <c r="C15" s="11">
        <f t="shared" si="6"/>
        <v>5832000</v>
      </c>
      <c r="D15" s="11">
        <f t="shared" si="0"/>
        <v>6415200</v>
      </c>
      <c r="E15" s="11">
        <f t="shared" si="1"/>
        <v>116640</v>
      </c>
      <c r="F15" s="11">
        <f t="shared" si="7"/>
        <v>5832000</v>
      </c>
      <c r="G15" s="11">
        <f t="shared" si="2"/>
        <v>466560.000000001</v>
      </c>
      <c r="H15" s="11">
        <f t="shared" si="3"/>
        <v>0</v>
      </c>
      <c r="I15" s="11">
        <f t="shared" si="4"/>
        <v>0</v>
      </c>
      <c r="J15" s="11">
        <f t="shared" si="5"/>
        <v>6298560</v>
      </c>
      <c r="K15" s="11">
        <f t="shared" si="8"/>
        <v>6298560</v>
      </c>
      <c r="L15" s="11">
        <f t="shared" si="9"/>
        <v>6655000</v>
      </c>
    </row>
    <row r="16" spans="1:12">
      <c r="A16" s="9">
        <v>4</v>
      </c>
      <c r="B16" s="10">
        <v>0.1</v>
      </c>
      <c r="C16" s="11">
        <f t="shared" si="6"/>
        <v>6298560</v>
      </c>
      <c r="D16" s="11">
        <f t="shared" si="0"/>
        <v>6928416</v>
      </c>
      <c r="E16" s="11">
        <f t="shared" si="1"/>
        <v>125971.2</v>
      </c>
      <c r="F16" s="11">
        <f t="shared" si="7"/>
        <v>6298560</v>
      </c>
      <c r="G16" s="11">
        <f t="shared" si="2"/>
        <v>503884.800000001</v>
      </c>
      <c r="H16" s="11">
        <f t="shared" si="3"/>
        <v>0</v>
      </c>
      <c r="I16" s="11">
        <f t="shared" si="4"/>
        <v>0</v>
      </c>
      <c r="J16" s="11">
        <f t="shared" si="5"/>
        <v>6802444.8</v>
      </c>
      <c r="K16" s="11">
        <f t="shared" si="8"/>
        <v>6802444.8</v>
      </c>
      <c r="L16" s="11">
        <f t="shared" si="9"/>
        <v>7320500</v>
      </c>
    </row>
    <row r="17" spans="1:12">
      <c r="A17" s="9">
        <v>5</v>
      </c>
      <c r="B17" s="10">
        <v>0.1</v>
      </c>
      <c r="C17" s="11">
        <f t="shared" si="6"/>
        <v>6802444.8</v>
      </c>
      <c r="D17" s="11">
        <f t="shared" si="0"/>
        <v>7482689.28</v>
      </c>
      <c r="E17" s="11">
        <f t="shared" si="1"/>
        <v>136048.896</v>
      </c>
      <c r="F17" s="11">
        <f t="shared" si="7"/>
        <v>6802444.8</v>
      </c>
      <c r="G17" s="11">
        <f t="shared" si="2"/>
        <v>544195.584000001</v>
      </c>
      <c r="H17" s="11">
        <f t="shared" si="3"/>
        <v>0</v>
      </c>
      <c r="I17" s="11">
        <f t="shared" si="4"/>
        <v>0</v>
      </c>
      <c r="J17" s="11">
        <f t="shared" si="5"/>
        <v>7346640.384</v>
      </c>
      <c r="K17" s="11">
        <f t="shared" si="8"/>
        <v>7346640.384</v>
      </c>
      <c r="L17" s="11">
        <f t="shared" si="9"/>
        <v>8052550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8052550</v>
      </c>
    </row>
    <row r="23" spans="1:12">
      <c r="A23" s="4" t="s">
        <v>61</v>
      </c>
      <c r="B23" s="11">
        <f>J17</f>
        <v>7346640.384</v>
      </c>
    </row>
    <row r="24" spans="1:12">
      <c r="A24" s="4" t="s">
        <v>62</v>
      </c>
      <c r="B24" s="11">
        <f>B23*B10</f>
        <v>73466.40384</v>
      </c>
    </row>
    <row r="25" spans="1:12">
      <c r="A25" s="4" t="s">
        <v>24</v>
      </c>
      <c r="B25" s="11">
        <f>B23-B24</f>
        <v>7273173.98016</v>
      </c>
    </row>
    <row r="26" spans="1:12">
      <c r="A26" s="4" t="s">
        <v>63</v>
      </c>
      <c r="B26" s="11">
        <f>SUM(E13:E17)</f>
        <v>586660.096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660126.49984</v>
      </c>
    </row>
    <row r="29" spans="1:12">
      <c r="A29" s="4" t="s">
        <v>29</v>
      </c>
      <c r="B29" s="12">
        <f>(B22/B4)^(1/B21)-1</f>
        <v>0.1</v>
      </c>
    </row>
    <row r="30" spans="1:12">
      <c r="A30" s="4" t="s">
        <v>30</v>
      </c>
      <c r="B30" s="12">
        <f>(B25/B4)^(1/B21)-1</f>
        <v>0.07783130779434</v>
      </c>
    </row>
    <row r="31" spans="1:12">
      <c r="A31" s="4" t="s">
        <v>66</v>
      </c>
      <c r="B31" s="12">
        <f>B29-B30</f>
        <v>0.0221686922056601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workbookViewId="0">
      <pane xSplit="1" ySplit="12" topLeftCell="B22" activePane="bottomRight" state="frozen"/>
      <selection/>
      <selection pane="topRight"/>
      <selection pane="bottomLeft"/>
      <selection pane="bottomRight" activeCell="B25" sqref="B25"/>
    </sheetView>
  </sheetViews>
  <sheetFormatPr defaultColWidth="8.68181818181818" defaultRowHeight="14.5"/>
  <cols>
    <col min="1" max="1" width="38" customWidth="1"/>
    <col min="2" max="2" width="19.4545454545455" customWidth="1"/>
    <col min="3" max="12" width="17" customWidth="1"/>
  </cols>
  <sheetData>
    <row r="1" ht="16.5" spans="1:12">
      <c r="A1" s="1" t="s">
        <v>75</v>
      </c>
    </row>
    <row r="2" spans="1:12">
      <c r="A2" s="2"/>
    </row>
    <row r="3" spans="1:12">
      <c r="A3" s="3" t="s">
        <v>38</v>
      </c>
    </row>
    <row r="4" spans="1:12">
      <c r="A4" s="4" t="s">
        <v>39</v>
      </c>
      <c r="B4" s="5">
        <v>5000000</v>
      </c>
    </row>
    <row r="5" spans="1:12">
      <c r="A5" s="4" t="s">
        <v>40</v>
      </c>
      <c r="B5" s="6">
        <v>0</v>
      </c>
    </row>
    <row r="6" spans="1:12">
      <c r="A6" s="4" t="s">
        <v>41</v>
      </c>
      <c r="B6" s="6">
        <v>0</v>
      </c>
    </row>
    <row r="7" spans="1:12">
      <c r="A7" s="4" t="s">
        <v>42</v>
      </c>
      <c r="B7" s="6">
        <v>0</v>
      </c>
    </row>
    <row r="8" spans="1:12">
      <c r="A8" s="4" t="s">
        <v>43</v>
      </c>
      <c r="B8" s="7">
        <v>0</v>
      </c>
    </row>
    <row r="9" spans="1:12">
      <c r="A9" s="4" t="s">
        <v>44</v>
      </c>
      <c r="B9" s="7">
        <v>0</v>
      </c>
    </row>
    <row r="10" spans="1:12">
      <c r="A10" s="4" t="s">
        <v>45</v>
      </c>
      <c r="B10" s="6">
        <v>0</v>
      </c>
    </row>
    <row r="12" ht="30" customHeight="1" spans="1:12">
      <c r="A12" s="8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52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</row>
    <row r="13" spans="1:12">
      <c r="A13" s="9">
        <v>1</v>
      </c>
      <c r="B13" s="10">
        <v>0.12</v>
      </c>
      <c r="C13" s="11">
        <f>$B$4</f>
        <v>5000000</v>
      </c>
      <c r="D13" s="11">
        <f t="shared" ref="D13:D17" si="0">C13*(1+B13)</f>
        <v>5600000</v>
      </c>
      <c r="E13" s="11">
        <f t="shared" ref="E13:E17" si="1">C13*$B$5</f>
        <v>0</v>
      </c>
      <c r="F13" s="11">
        <f>IF($B$9=1,$B$4,C13)</f>
        <v>5000000</v>
      </c>
      <c r="G13" s="11">
        <f t="shared" ref="G13:G17" si="2">D13-E13-F13</f>
        <v>600000.000000001</v>
      </c>
      <c r="H13" s="11">
        <f t="shared" ref="H13:H17" si="3">F13*$B$7</f>
        <v>0</v>
      </c>
      <c r="I13" s="11">
        <f t="shared" ref="I13:I17" si="4">$B$6*IF($B$8=1,IF(G13&gt;H13,G13,0),MAX(0,G13-H13))</f>
        <v>0</v>
      </c>
      <c r="J13" s="11">
        <f t="shared" ref="J13:J17" si="5">D13-E13-I13</f>
        <v>5600000</v>
      </c>
      <c r="K13" s="11">
        <f>MAX($B$4,J13)</f>
        <v>5600000</v>
      </c>
      <c r="L13" s="11">
        <f>$B$4*(1+B13)</f>
        <v>5600000</v>
      </c>
    </row>
    <row r="14" spans="1:12">
      <c r="A14" s="9">
        <v>2</v>
      </c>
      <c r="B14" s="10">
        <v>-0.04</v>
      </c>
      <c r="C14" s="11">
        <f t="shared" ref="C14:C17" si="6">J13</f>
        <v>5600000</v>
      </c>
      <c r="D14" s="11">
        <f t="shared" si="0"/>
        <v>5376000</v>
      </c>
      <c r="E14" s="11">
        <f t="shared" si="1"/>
        <v>0</v>
      </c>
      <c r="F14" s="11">
        <f t="shared" ref="F14:F17" si="7">IF($B$9=1,K13,C14)</f>
        <v>5600000</v>
      </c>
      <c r="G14" s="11">
        <f t="shared" si="2"/>
        <v>-224000</v>
      </c>
      <c r="H14" s="11">
        <f t="shared" si="3"/>
        <v>0</v>
      </c>
      <c r="I14" s="11">
        <f t="shared" si="4"/>
        <v>0</v>
      </c>
      <c r="J14" s="11">
        <f t="shared" si="5"/>
        <v>5376000</v>
      </c>
      <c r="K14" s="11">
        <f t="shared" ref="K14:K17" si="8">MAX(K13,J14)</f>
        <v>5600000</v>
      </c>
      <c r="L14" s="11">
        <f t="shared" ref="L14:L17" si="9">L13*(1+B14)</f>
        <v>5376000</v>
      </c>
    </row>
    <row r="15" spans="1:12">
      <c r="A15" s="9">
        <v>3</v>
      </c>
      <c r="B15" s="10">
        <v>0.15</v>
      </c>
      <c r="C15" s="11">
        <f t="shared" si="6"/>
        <v>5376000</v>
      </c>
      <c r="D15" s="11">
        <f t="shared" si="0"/>
        <v>6182400</v>
      </c>
      <c r="E15" s="11">
        <f t="shared" si="1"/>
        <v>0</v>
      </c>
      <c r="F15" s="11">
        <f t="shared" si="7"/>
        <v>5376000</v>
      </c>
      <c r="G15" s="11">
        <f t="shared" si="2"/>
        <v>806400</v>
      </c>
      <c r="H15" s="11">
        <f t="shared" si="3"/>
        <v>0</v>
      </c>
      <c r="I15" s="11">
        <f t="shared" si="4"/>
        <v>0</v>
      </c>
      <c r="J15" s="11">
        <f t="shared" si="5"/>
        <v>6182400</v>
      </c>
      <c r="K15" s="11">
        <f t="shared" si="8"/>
        <v>6182400</v>
      </c>
      <c r="L15" s="11">
        <f t="shared" si="9"/>
        <v>6182400</v>
      </c>
    </row>
    <row r="16" spans="1:12">
      <c r="A16" s="9">
        <v>4</v>
      </c>
      <c r="B16" s="10">
        <v>0.08</v>
      </c>
      <c r="C16" s="11">
        <f t="shared" si="6"/>
        <v>6182400</v>
      </c>
      <c r="D16" s="11">
        <f t="shared" si="0"/>
        <v>6676992</v>
      </c>
      <c r="E16" s="11">
        <f t="shared" si="1"/>
        <v>0</v>
      </c>
      <c r="F16" s="11">
        <f t="shared" si="7"/>
        <v>6182400</v>
      </c>
      <c r="G16" s="11">
        <f t="shared" si="2"/>
        <v>494592.000000001</v>
      </c>
      <c r="H16" s="11">
        <f t="shared" si="3"/>
        <v>0</v>
      </c>
      <c r="I16" s="11">
        <f t="shared" si="4"/>
        <v>0</v>
      </c>
      <c r="J16" s="11">
        <f t="shared" si="5"/>
        <v>6676992</v>
      </c>
      <c r="K16" s="11">
        <f t="shared" si="8"/>
        <v>6676992</v>
      </c>
      <c r="L16" s="11">
        <f t="shared" si="9"/>
        <v>6676992</v>
      </c>
    </row>
    <row r="17" spans="1:12">
      <c r="A17" s="9">
        <v>5</v>
      </c>
      <c r="B17" s="10">
        <v>0.1</v>
      </c>
      <c r="C17" s="11">
        <f t="shared" si="6"/>
        <v>6676992</v>
      </c>
      <c r="D17" s="11">
        <f t="shared" si="0"/>
        <v>7344691.2</v>
      </c>
      <c r="E17" s="11">
        <f t="shared" si="1"/>
        <v>0</v>
      </c>
      <c r="F17" s="11">
        <f t="shared" si="7"/>
        <v>6676992</v>
      </c>
      <c r="G17" s="11">
        <f t="shared" si="2"/>
        <v>667699.200000001</v>
      </c>
      <c r="H17" s="11">
        <f t="shared" si="3"/>
        <v>0</v>
      </c>
      <c r="I17" s="11">
        <f t="shared" si="4"/>
        <v>0</v>
      </c>
      <c r="J17" s="11">
        <f t="shared" si="5"/>
        <v>7344691.2</v>
      </c>
      <c r="K17" s="11">
        <f t="shared" si="8"/>
        <v>7344691.2</v>
      </c>
      <c r="L17" s="11">
        <f t="shared" si="9"/>
        <v>7344691.2</v>
      </c>
    </row>
    <row r="20" spans="1:12">
      <c r="A20" s="3" t="s">
        <v>58</v>
      </c>
    </row>
    <row r="21" spans="1:12">
      <c r="A21" s="4" t="s">
        <v>59</v>
      </c>
      <c r="B21" s="9">
        <f>COUNT(A13:A17)</f>
        <v>5</v>
      </c>
    </row>
    <row r="22" spans="1:12">
      <c r="A22" s="4" t="s">
        <v>60</v>
      </c>
      <c r="B22" s="11">
        <f>L17</f>
        <v>7344691.2</v>
      </c>
    </row>
    <row r="23" spans="1:12">
      <c r="A23" s="4" t="s">
        <v>61</v>
      </c>
      <c r="B23" s="11">
        <f>J17</f>
        <v>7344691.2</v>
      </c>
    </row>
    <row r="24" spans="1:12">
      <c r="A24" s="4" t="s">
        <v>62</v>
      </c>
      <c r="B24" s="11">
        <f>B23*B10</f>
        <v>0</v>
      </c>
    </row>
    <row r="25" spans="1:12">
      <c r="A25" s="4" t="s">
        <v>24</v>
      </c>
      <c r="B25" s="11">
        <f>B23-B24</f>
        <v>7344691.2</v>
      </c>
    </row>
    <row r="26" spans="1:12">
      <c r="A26" s="4" t="s">
        <v>63</v>
      </c>
      <c r="B26" s="11">
        <f>SUM(E13:E17)</f>
        <v>0</v>
      </c>
    </row>
    <row r="27" spans="1:12">
      <c r="A27" s="4" t="s">
        <v>64</v>
      </c>
      <c r="B27" s="11">
        <f>SUM(I13:I17)</f>
        <v>0</v>
      </c>
    </row>
    <row r="28" spans="1:12">
      <c r="A28" s="4" t="s">
        <v>65</v>
      </c>
      <c r="B28" s="11">
        <f>B24+B26+B27</f>
        <v>0</v>
      </c>
    </row>
    <row r="29" spans="1:12">
      <c r="A29" s="4" t="s">
        <v>29</v>
      </c>
      <c r="B29" s="12">
        <f>(B22/B4)^(1/B21)-1</f>
        <v>0.0799426855799519</v>
      </c>
    </row>
    <row r="30" spans="1:12">
      <c r="A30" s="4" t="s">
        <v>30</v>
      </c>
      <c r="B30" s="12">
        <f>(B25/B4)^(1/B21)-1</f>
        <v>0.0799426855799519</v>
      </c>
    </row>
    <row r="31" spans="1:12">
      <c r="A31" s="4" t="s">
        <v>66</v>
      </c>
      <c r="B31" s="12">
        <f>B29-B30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Conventions</vt:lpstr>
      <vt:lpstr>Summary</vt:lpstr>
      <vt:lpstr>C01_fixed_only</vt:lpstr>
      <vt:lpstr>C05_hwm_only</vt:lpstr>
      <vt:lpstr>TPL_blank_template</vt:lpstr>
      <vt:lpstr>CO2_Hybrid_No_Hurdles</vt:lpstr>
      <vt:lpstr>CO3_HUrdle_no_catchup</vt:lpstr>
      <vt:lpstr>CO4_HUrdle_catchup </vt:lpstr>
      <vt:lpstr>CO6_Hurdle_+HWM</vt:lpstr>
      <vt:lpstr>CO7_HurdleEdge_no_catchup </vt:lpstr>
      <vt:lpstr>CO8_HurdleEdge_catchup</vt:lpstr>
      <vt:lpstr>CO9_ExitLoad</vt:lpstr>
      <vt:lpstr>CO10_Zero_Fee_Baseline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Reddy Manda</cp:lastModifiedBy>
  <cp:revision>0</cp:revision>
  <dcterms:created xsi:type="dcterms:W3CDTF">2026-10-09T13:14:00Z</dcterms:created>
  <dcterms:modified xsi:type="dcterms:W3CDTF">2026-10-09T13:57:38Z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E6842C33BB114AC783FF4E954DC56977_12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