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_Series" sheetId="1" state="visible" r:id="rId3"/>
    <sheet name="B_XIR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<sst xmlns="http://schemas.openxmlformats.org/spreadsheetml/2006/main" count="28" uniqueCount="25">
  <si>
    <t xml:space="preserve">Date</t>
  </si>
  <si>
    <t xml:space="preserve">Value</t>
  </si>
  <si>
    <t xml:space="preserve">Period return</t>
  </si>
  <si>
    <t xml:space="preserve">Running peak</t>
  </si>
  <si>
    <t xml:space="preserve">Drawdown</t>
  </si>
  <si>
    <t xml:space="preserve">Results</t>
  </si>
  <si>
    <t xml:space="preserve">Years</t>
  </si>
  <si>
    <t xml:space="preserve">CAGR</t>
  </si>
  <si>
    <t xml:space="preserve">Monthly volatility</t>
  </si>
  <si>
    <t xml:space="preserve">Annualised volatility</t>
  </si>
  <si>
    <t xml:space="preserve">Max drawdown</t>
  </si>
  <si>
    <t xml:space="preserve">Risk-free rate (input)</t>
  </si>
  <si>
    <t xml:space="preserve">Sharpe ratio</t>
  </si>
  <si>
    <t xml:space="preserve">Years = days / 365. Volatility is the sample standard deviation (STDEV.S) of monthly returns x SQRT(12).</t>
  </si>
  <si>
    <t xml:space="preserve">Sharpe = (CAGR - risk-free rate) / annualised volatility. Blue = input, black = formula.</t>
  </si>
  <si>
    <t xml:space="preserve">XIRR: cash flows on different dates</t>
  </si>
  <si>
    <t xml:space="preserve">Cash flow (Rs)</t>
  </si>
  <si>
    <t xml:space="preserve">Days since first</t>
  </si>
  <si>
    <t xml:space="preserve">XIRR</t>
  </si>
  <si>
    <t xml:space="preserve">NPV check at XIRR (should be about 0)</t>
  </si>
  <si>
    <t xml:space="preserve">Two-flow check: XIRR must equal CAGR</t>
  </si>
  <si>
    <t xml:space="preserve">Cash flow</t>
  </si>
  <si>
    <t xml:space="preserve">XIRR (two flows)</t>
  </si>
  <si>
    <t xml:space="preserve">CAGR from sheet A_Series</t>
  </si>
  <si>
    <t xml:space="preserve">Difference (should be about 0)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</si>
</sst>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m\-yyyy"/>
    <numFmt numFmtId="166" formatCode="0.00%"/>
    <numFmt numFmtId="167" formatCode="0.00"/>
    <numFmt numFmtId="168" formatCode="0.0000"/>
    <numFmt numFmtId="169" formatCode="#,##0;\(#,##0\);\-"/>
    <numFmt numFmtId="170" formatCode="0"/>
    <numFmt numFmtId="171" formatCode="#,##0.0000"/>
    <numFmt numFmtId="172" formatCode="0.0000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3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5"/>
    <col collapsed="false" customWidth="true" hidden="false" outlineLevel="0" max="6" min="6" style="0" width="3"/>
    <col collapsed="false" customWidth="true" hidden="false" outlineLevel="0" max="7" min="7" style="0" width="28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</row>
    <row r="2" customFormat="false" ht="15" hidden="false" customHeight="false" outlineLevel="0" collapsed="false">
      <c r="A2" s="3" t="n">
        <v>45688</v>
      </c>
      <c r="B2" s="4" t="n">
        <v>100</v>
      </c>
      <c r="C2" s="5"/>
      <c r="D2" s="6" t="n">
        <f aca="false">B2</f>
        <v>100</v>
      </c>
      <c r="E2" s="5" t="n">
        <f aca="false">B2/D2-1</f>
        <v>0</v>
      </c>
      <c r="G2" s="7" t="s">
        <v>6</v>
      </c>
      <c r="H2" s="8" t="n">
        <f aca="false">(A14-A2)/365</f>
        <v>1</v>
      </c>
    </row>
    <row r="3" customFormat="false" ht="15" hidden="false" customHeight="false" outlineLevel="0" collapsed="false">
      <c r="A3" s="3" t="n">
        <v>45716</v>
      </c>
      <c r="B3" s="4" t="n">
        <v>102</v>
      </c>
      <c r="C3" s="5" t="n">
        <f aca="false">B3/B2-1</f>
        <v>0.02</v>
      </c>
      <c r="D3" s="6" t="n">
        <f aca="false">MAX(D2,B3)</f>
        <v>102</v>
      </c>
      <c r="E3" s="5" t="n">
        <f aca="false">B3/D3-1</f>
        <v>0</v>
      </c>
      <c r="G3" s="7" t="s">
        <v>7</v>
      </c>
      <c r="H3" s="5" t="n">
        <f aca="false">(B14/B2)^(1/H2)-1</f>
        <v>0.2</v>
      </c>
    </row>
    <row r="4" customFormat="false" ht="15" hidden="false" customHeight="false" outlineLevel="0" collapsed="false">
      <c r="A4" s="3" t="n">
        <v>45747</v>
      </c>
      <c r="B4" s="4" t="n">
        <v>99</v>
      </c>
      <c r="C4" s="5" t="n">
        <f aca="false">B4/B3-1</f>
        <v>-0.0294117647058824</v>
      </c>
      <c r="D4" s="6" t="n">
        <f aca="false">MAX(D3,B4)</f>
        <v>102</v>
      </c>
      <c r="E4" s="5" t="n">
        <f aca="false">B4/D4-1</f>
        <v>-0.0294117647058824</v>
      </c>
      <c r="G4" s="7" t="s">
        <v>8</v>
      </c>
      <c r="H4" s="5" t="n">
        <f aca="false">_xlfn.STDEV.S(C3:C14)</f>
        <v>0.0424758834282728</v>
      </c>
    </row>
    <row r="5" customFormat="false" ht="15" hidden="false" customHeight="false" outlineLevel="0" collapsed="false">
      <c r="A5" s="3" t="n">
        <v>45777</v>
      </c>
      <c r="B5" s="4" t="n">
        <v>105</v>
      </c>
      <c r="C5" s="5" t="n">
        <f aca="false">B5/B4-1</f>
        <v>0.0606060606060606</v>
      </c>
      <c r="D5" s="6" t="n">
        <f aca="false">MAX(D4,B5)</f>
        <v>105</v>
      </c>
      <c r="E5" s="5" t="n">
        <f aca="false">B5/D5-1</f>
        <v>0</v>
      </c>
      <c r="G5" s="7" t="s">
        <v>9</v>
      </c>
      <c r="H5" s="5" t="n">
        <f aca="false">H4*SQRT(12)</f>
        <v>0.147140776388283</v>
      </c>
    </row>
    <row r="6" customFormat="false" ht="15" hidden="false" customHeight="false" outlineLevel="0" collapsed="false">
      <c r="A6" s="3" t="n">
        <v>45808</v>
      </c>
      <c r="B6" s="4" t="n">
        <v>108</v>
      </c>
      <c r="C6" s="5" t="n">
        <f aca="false">B6/B5-1</f>
        <v>0.0285714285714285</v>
      </c>
      <c r="D6" s="6" t="n">
        <f aca="false">MAX(D5,B6)</f>
        <v>108</v>
      </c>
      <c r="E6" s="5" t="n">
        <f aca="false">B6/D6-1</f>
        <v>0</v>
      </c>
      <c r="G6" s="7" t="s">
        <v>10</v>
      </c>
      <c r="H6" s="5" t="n">
        <f aca="false">MIN(E2:E14)</f>
        <v>-0.0446428571428571</v>
      </c>
    </row>
    <row r="7" customFormat="false" ht="15" hidden="false" customHeight="false" outlineLevel="0" collapsed="false">
      <c r="A7" s="3" t="n">
        <v>45838</v>
      </c>
      <c r="B7" s="4" t="n">
        <v>104</v>
      </c>
      <c r="C7" s="5" t="n">
        <f aca="false">B7/B6-1</f>
        <v>-0.0370370370370371</v>
      </c>
      <c r="D7" s="6" t="n">
        <f aca="false">MAX(D6,B7)</f>
        <v>108</v>
      </c>
      <c r="E7" s="5" t="n">
        <f aca="false">B7/D7-1</f>
        <v>-0.0370370370370371</v>
      </c>
      <c r="G7" s="7" t="s">
        <v>11</v>
      </c>
      <c r="H7" s="9" t="n">
        <v>0.06</v>
      </c>
    </row>
    <row r="8" customFormat="false" ht="15" hidden="false" customHeight="false" outlineLevel="0" collapsed="false">
      <c r="A8" s="3" t="n">
        <v>45869</v>
      </c>
      <c r="B8" s="4" t="n">
        <v>110</v>
      </c>
      <c r="C8" s="5" t="n">
        <f aca="false">B8/B7-1</f>
        <v>0.0576923076923077</v>
      </c>
      <c r="D8" s="6" t="n">
        <f aca="false">MAX(D7,B8)</f>
        <v>110</v>
      </c>
      <c r="E8" s="5" t="n">
        <f aca="false">B8/D8-1</f>
        <v>0</v>
      </c>
      <c r="G8" s="7" t="s">
        <v>12</v>
      </c>
      <c r="H8" s="8" t="n">
        <f aca="false">(H3-H7)/H5</f>
        <v>0.951469765461619</v>
      </c>
    </row>
    <row r="9" customFormat="false" ht="15" hidden="false" customHeight="false" outlineLevel="0" collapsed="false">
      <c r="A9" s="3" t="n">
        <v>45900</v>
      </c>
      <c r="B9" s="4" t="n">
        <v>112</v>
      </c>
      <c r="C9" s="5" t="n">
        <f aca="false">B9/B8-1</f>
        <v>0.0181818181818181</v>
      </c>
      <c r="D9" s="6" t="n">
        <f aca="false">MAX(D8,B9)</f>
        <v>112</v>
      </c>
      <c r="E9" s="5" t="n">
        <f aca="false">B9/D9-1</f>
        <v>0</v>
      </c>
    </row>
    <row r="10" customFormat="false" ht="15" hidden="false" customHeight="false" outlineLevel="0" collapsed="false">
      <c r="A10" s="3" t="n">
        <v>45930</v>
      </c>
      <c r="B10" s="4" t="n">
        <v>107</v>
      </c>
      <c r="C10" s="5" t="n">
        <f aca="false">B10/B9-1</f>
        <v>-0.0446428571428571</v>
      </c>
      <c r="D10" s="6" t="n">
        <f aca="false">MAX(D9,B10)</f>
        <v>112</v>
      </c>
      <c r="E10" s="5" t="n">
        <f aca="false">B10/D10-1</f>
        <v>-0.0446428571428571</v>
      </c>
      <c r="G10" s="10" t="s">
        <v>13</v>
      </c>
    </row>
    <row r="11" customFormat="false" ht="15" hidden="false" customHeight="false" outlineLevel="0" collapsed="false">
      <c r="A11" s="3" t="n">
        <v>45961</v>
      </c>
      <c r="B11" s="4" t="n">
        <v>115</v>
      </c>
      <c r="C11" s="5" t="n">
        <f aca="false">B11/B10-1</f>
        <v>0.0747663551401869</v>
      </c>
      <c r="D11" s="6" t="n">
        <f aca="false">MAX(D10,B11)</f>
        <v>115</v>
      </c>
      <c r="E11" s="5" t="n">
        <f aca="false">B11/D11-1</f>
        <v>0</v>
      </c>
      <c r="G11" s="10" t="s">
        <v>14</v>
      </c>
    </row>
    <row r="12" customFormat="false" ht="15" hidden="false" customHeight="false" outlineLevel="0" collapsed="false">
      <c r="A12" s="3" t="n">
        <v>45991</v>
      </c>
      <c r="B12" s="4" t="n">
        <v>118</v>
      </c>
      <c r="C12" s="5" t="n">
        <f aca="false">B12/B11-1</f>
        <v>0.0260869565217392</v>
      </c>
      <c r="D12" s="6" t="n">
        <f aca="false">MAX(D11,B12)</f>
        <v>118</v>
      </c>
      <c r="E12" s="5" t="n">
        <f aca="false">B12/D12-1</f>
        <v>0</v>
      </c>
    </row>
    <row r="13" customFormat="false" ht="15" hidden="false" customHeight="false" outlineLevel="0" collapsed="false">
      <c r="A13" s="3" t="n">
        <v>46022</v>
      </c>
      <c r="B13" s="4" t="n">
        <v>114</v>
      </c>
      <c r="C13" s="5" t="n">
        <f aca="false">B13/B12-1</f>
        <v>-0.0338983050847458</v>
      </c>
      <c r="D13" s="6" t="n">
        <f aca="false">MAX(D12,B13)</f>
        <v>118</v>
      </c>
      <c r="E13" s="5" t="n">
        <f aca="false">B13/D13-1</f>
        <v>-0.0338983050847458</v>
      </c>
    </row>
    <row r="14" customFormat="false" ht="15" hidden="false" customHeight="false" outlineLevel="0" collapsed="false">
      <c r="A14" s="3" t="n">
        <v>46053</v>
      </c>
      <c r="B14" s="4" t="n">
        <v>120</v>
      </c>
      <c r="C14" s="5" t="n">
        <f aca="false">B14/B13-1</f>
        <v>0.0526315789473684</v>
      </c>
      <c r="D14" s="6" t="n">
        <f aca="false">MAX(D13,B14)</f>
        <v>120</v>
      </c>
      <c r="E14" s="5" t="n">
        <f aca="false">B14/D14-1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16"/>
  </cols>
  <sheetData>
    <row r="1" customFormat="false" ht="16.15" hidden="false" customHeight="false" outlineLevel="0" collapsed="false">
      <c r="A1" s="11" t="s">
        <v>15</v>
      </c>
    </row>
    <row r="3" customFormat="false" ht="15" hidden="false" customHeight="false" outlineLevel="0" collapsed="false">
      <c r="A3" s="1" t="s">
        <v>0</v>
      </c>
      <c r="B3" s="1" t="s">
        <v>16</v>
      </c>
      <c r="C3" s="1" t="s">
        <v>17</v>
      </c>
    </row>
    <row r="4" customFormat="false" ht="15" hidden="false" customHeight="false" outlineLevel="0" collapsed="false">
      <c r="A4" s="3" t="n">
        <v>45292</v>
      </c>
      <c r="B4" s="12" t="n">
        <v>-5000000</v>
      </c>
      <c r="C4" s="13" t="n">
        <f aca="false">A4-$A$4</f>
        <v>0</v>
      </c>
    </row>
    <row r="5" customFormat="false" ht="15" hidden="false" customHeight="false" outlineLevel="0" collapsed="false">
      <c r="A5" s="3" t="n">
        <v>45474</v>
      </c>
      <c r="B5" s="12" t="n">
        <v>-1000000</v>
      </c>
      <c r="C5" s="13" t="n">
        <f aca="false">A5-$A$4</f>
        <v>182</v>
      </c>
    </row>
    <row r="6" customFormat="false" ht="15" hidden="false" customHeight="false" outlineLevel="0" collapsed="false">
      <c r="A6" s="3" t="n">
        <v>45658</v>
      </c>
      <c r="B6" s="12" t="n">
        <v>-500000</v>
      </c>
      <c r="C6" s="13" t="n">
        <f aca="false">A6-$A$4</f>
        <v>366</v>
      </c>
    </row>
    <row r="7" customFormat="false" ht="15" hidden="false" customHeight="false" outlineLevel="0" collapsed="false">
      <c r="A7" s="3" t="n">
        <v>46022</v>
      </c>
      <c r="B7" s="12" t="n">
        <v>7500000</v>
      </c>
      <c r="C7" s="13" t="n">
        <f aca="false">A7-$A$4</f>
        <v>730</v>
      </c>
    </row>
    <row r="9" customFormat="false" ht="15" hidden="false" customHeight="false" outlineLevel="0" collapsed="false">
      <c r="A9" s="2" t="s">
        <v>18</v>
      </c>
      <c r="B9" s="14" t="n">
        <f aca="false">XIRR(B4:B7,A4:A7)</f>
        <v>0.0804374821931002</v>
      </c>
    </row>
    <row r="10" customFormat="false" ht="15" hidden="false" customHeight="false" outlineLevel="0" collapsed="false">
      <c r="A10" s="7" t="s">
        <v>19</v>
      </c>
      <c r="B10" s="15" t="n">
        <f aca="false">SUMPRODUCT(B4:B7/(1+B9)^(C4:C7/365))</f>
        <v>0</v>
      </c>
    </row>
    <row r="13" customFormat="false" ht="15" hidden="false" customHeight="false" outlineLevel="0" collapsed="false">
      <c r="A13" s="2" t="s">
        <v>20</v>
      </c>
    </row>
    <row r="14" customFormat="false" ht="15" hidden="false" customHeight="false" outlineLevel="0" collapsed="false">
      <c r="A14" s="1" t="s">
        <v>0</v>
      </c>
      <c r="B14" s="1" t="s">
        <v>21</v>
      </c>
      <c r="C14" s="1" t="s">
        <v>17</v>
      </c>
    </row>
    <row r="15" customFormat="false" ht="15" hidden="false" customHeight="false" outlineLevel="0" collapsed="false">
      <c r="A15" s="3" t="n">
        <v>45688</v>
      </c>
      <c r="B15" s="4" t="n">
        <v>-100</v>
      </c>
      <c r="C15" s="13" t="n">
        <f aca="false">A15-$A$15</f>
        <v>0</v>
      </c>
    </row>
    <row r="16" customFormat="false" ht="15" hidden="false" customHeight="false" outlineLevel="0" collapsed="false">
      <c r="A16" s="3" t="n">
        <v>46053</v>
      </c>
      <c r="B16" s="4" t="n">
        <v>120</v>
      </c>
      <c r="C16" s="13" t="n">
        <f aca="false">A16-$A$15</f>
        <v>365</v>
      </c>
    </row>
    <row r="18" customFormat="false" ht="15" hidden="false" customHeight="false" outlineLevel="0" collapsed="false">
      <c r="A18" s="7" t="s">
        <v>22</v>
      </c>
      <c r="B18" s="14" t="n">
        <f aca="false">XIRR(B15:B16,A15:A16)</f>
        <v>0.2</v>
      </c>
    </row>
    <row r="19" customFormat="false" ht="15" hidden="false" customHeight="false" outlineLevel="0" collapsed="false">
      <c r="A19" s="7" t="s">
        <v>23</v>
      </c>
      <c r="B19" s="16" t="n">
        <f aca="false">A_Series!H3</f>
        <v>0.2</v>
      </c>
    </row>
    <row r="20" customFormat="false" ht="15" hidden="false" customHeight="false" outlineLevel="0" collapsed="false">
      <c r="A20" s="7" t="s">
        <v>24</v>
      </c>
      <c r="B20" s="17" t="n">
        <f aca="false">B18-B19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2026-10-10T06:58:49Z</dcterms:created>
  <dc:creator>openpyxl</dc:creator>
  <dc:description/>
  <dc:language>en-US</dc:language>
  <cp:lastModifiedBy/>
  <dcterms:modified xsi:type="dcterms:W3CDTF">2026-10-10T06:58:49Z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